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i\Downloads\"/>
    </mc:Choice>
  </mc:AlternateContent>
  <xr:revisionPtr revIDLastSave="0" documentId="13_ncr:1_{202E2FE1-5DC3-42EF-8908-35EF241588FF}" xr6:coauthVersionLast="47" xr6:coauthVersionMax="47" xr10:uidLastSave="{00000000-0000-0000-0000-000000000000}"/>
  <bookViews>
    <workbookView xWindow="-210" yWindow="0" windowWidth="27810" windowHeight="15585" activeTab="5" xr2:uid="{00000000-000D-0000-FFFF-FFFF00000000}"/>
  </bookViews>
  <sheets>
    <sheet name="README" sheetId="1" r:id="rId1"/>
    <sheet name="Raw Data" sheetId="2" r:id="rId2"/>
    <sheet name="Returns" sheetId="3" r:id="rId3"/>
    <sheet name="Beta" sheetId="4" r:id="rId4"/>
    <sheet name="CAPM" sheetId="5" r:id="rId5"/>
    <sheet name="Charts" sheetId="6" r:id="rId6"/>
    <sheet name="Insight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5" l="1"/>
  <c r="D7" i="5"/>
  <c r="B3" i="5"/>
  <c r="B4" i="5" s="1"/>
  <c r="E7" i="5"/>
  <c r="C7" i="4"/>
  <c r="C2" i="4"/>
  <c r="H2" i="3"/>
  <c r="H3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4" i="3"/>
  <c r="A5" i="3"/>
  <c r="A6" i="3"/>
  <c r="A3" i="3"/>
  <c r="A2" i="3"/>
  <c r="A7" i="3"/>
  <c r="B12" i="5"/>
  <c r="A12" i="5"/>
  <c r="B11" i="5"/>
  <c r="A11" i="5"/>
  <c r="B10" i="5"/>
  <c r="A10" i="5"/>
  <c r="B9" i="5"/>
  <c r="A9" i="5"/>
  <c r="B8" i="5"/>
  <c r="A8" i="5"/>
  <c r="B7" i="5"/>
  <c r="A7" i="5"/>
  <c r="H60" i="3"/>
  <c r="G60" i="3"/>
  <c r="F60" i="3"/>
  <c r="E60" i="3"/>
  <c r="D60" i="3"/>
  <c r="C60" i="3"/>
  <c r="B60" i="3"/>
  <c r="H59" i="3"/>
  <c r="G59" i="3"/>
  <c r="F59" i="3"/>
  <c r="E59" i="3"/>
  <c r="D59" i="3"/>
  <c r="C59" i="3"/>
  <c r="B59" i="3"/>
  <c r="H58" i="3"/>
  <c r="G58" i="3"/>
  <c r="F58" i="3"/>
  <c r="E58" i="3"/>
  <c r="D58" i="3"/>
  <c r="C58" i="3"/>
  <c r="B58" i="3"/>
  <c r="H57" i="3"/>
  <c r="G57" i="3"/>
  <c r="F57" i="3"/>
  <c r="E57" i="3"/>
  <c r="D57" i="3"/>
  <c r="C57" i="3"/>
  <c r="B57" i="3"/>
  <c r="H56" i="3"/>
  <c r="G56" i="3"/>
  <c r="F56" i="3"/>
  <c r="E56" i="3"/>
  <c r="D56" i="3"/>
  <c r="C56" i="3"/>
  <c r="B56" i="3"/>
  <c r="H55" i="3"/>
  <c r="G55" i="3"/>
  <c r="F55" i="3"/>
  <c r="E55" i="3"/>
  <c r="D55" i="3"/>
  <c r="C55" i="3"/>
  <c r="B55" i="3"/>
  <c r="H54" i="3"/>
  <c r="G54" i="3"/>
  <c r="F54" i="3"/>
  <c r="E54" i="3"/>
  <c r="D54" i="3"/>
  <c r="C54" i="3"/>
  <c r="B54" i="3"/>
  <c r="H53" i="3"/>
  <c r="G53" i="3"/>
  <c r="F53" i="3"/>
  <c r="E53" i="3"/>
  <c r="D53" i="3"/>
  <c r="C53" i="3"/>
  <c r="B53" i="3"/>
  <c r="H52" i="3"/>
  <c r="G52" i="3"/>
  <c r="F52" i="3"/>
  <c r="E52" i="3"/>
  <c r="D52" i="3"/>
  <c r="C52" i="3"/>
  <c r="B52" i="3"/>
  <c r="H51" i="3"/>
  <c r="G51" i="3"/>
  <c r="F51" i="3"/>
  <c r="E51" i="3"/>
  <c r="D51" i="3"/>
  <c r="C51" i="3"/>
  <c r="B51" i="3"/>
  <c r="H50" i="3"/>
  <c r="G50" i="3"/>
  <c r="F50" i="3"/>
  <c r="E50" i="3"/>
  <c r="D50" i="3"/>
  <c r="C50" i="3"/>
  <c r="B50" i="3"/>
  <c r="H49" i="3"/>
  <c r="G49" i="3"/>
  <c r="F49" i="3"/>
  <c r="E49" i="3"/>
  <c r="D49" i="3"/>
  <c r="C49" i="3"/>
  <c r="B49" i="3"/>
  <c r="H48" i="3"/>
  <c r="G48" i="3"/>
  <c r="F48" i="3"/>
  <c r="E48" i="3"/>
  <c r="D48" i="3"/>
  <c r="C48" i="3"/>
  <c r="B48" i="3"/>
  <c r="H47" i="3"/>
  <c r="G47" i="3"/>
  <c r="F47" i="3"/>
  <c r="E47" i="3"/>
  <c r="D47" i="3"/>
  <c r="C47" i="3"/>
  <c r="B47" i="3"/>
  <c r="H46" i="3"/>
  <c r="G46" i="3"/>
  <c r="F46" i="3"/>
  <c r="E46" i="3"/>
  <c r="D46" i="3"/>
  <c r="C46" i="3"/>
  <c r="B46" i="3"/>
  <c r="H45" i="3"/>
  <c r="G45" i="3"/>
  <c r="F45" i="3"/>
  <c r="E45" i="3"/>
  <c r="D45" i="3"/>
  <c r="C45" i="3"/>
  <c r="B45" i="3"/>
  <c r="H44" i="3"/>
  <c r="G44" i="3"/>
  <c r="F44" i="3"/>
  <c r="E44" i="3"/>
  <c r="D44" i="3"/>
  <c r="C44" i="3"/>
  <c r="B44" i="3"/>
  <c r="H43" i="3"/>
  <c r="G43" i="3"/>
  <c r="F43" i="3"/>
  <c r="E43" i="3"/>
  <c r="D43" i="3"/>
  <c r="C43" i="3"/>
  <c r="B43" i="3"/>
  <c r="H42" i="3"/>
  <c r="G42" i="3"/>
  <c r="F42" i="3"/>
  <c r="E42" i="3"/>
  <c r="D42" i="3"/>
  <c r="C42" i="3"/>
  <c r="B42" i="3"/>
  <c r="H41" i="3"/>
  <c r="G41" i="3"/>
  <c r="F41" i="3"/>
  <c r="E41" i="3"/>
  <c r="D41" i="3"/>
  <c r="C41" i="3"/>
  <c r="B41" i="3"/>
  <c r="H40" i="3"/>
  <c r="G40" i="3"/>
  <c r="F40" i="3"/>
  <c r="E40" i="3"/>
  <c r="D40" i="3"/>
  <c r="C40" i="3"/>
  <c r="B40" i="3"/>
  <c r="H39" i="3"/>
  <c r="G39" i="3"/>
  <c r="F39" i="3"/>
  <c r="E39" i="3"/>
  <c r="D39" i="3"/>
  <c r="C39" i="3"/>
  <c r="B39" i="3"/>
  <c r="H38" i="3"/>
  <c r="G38" i="3"/>
  <c r="F38" i="3"/>
  <c r="E38" i="3"/>
  <c r="D38" i="3"/>
  <c r="C38" i="3"/>
  <c r="B38" i="3"/>
  <c r="G37" i="3"/>
  <c r="F37" i="3"/>
  <c r="E37" i="3"/>
  <c r="D37" i="3"/>
  <c r="C37" i="3"/>
  <c r="B37" i="3"/>
  <c r="H36" i="3"/>
  <c r="G36" i="3"/>
  <c r="F36" i="3"/>
  <c r="E36" i="3"/>
  <c r="D36" i="3"/>
  <c r="C36" i="3"/>
  <c r="B36" i="3"/>
  <c r="H35" i="3"/>
  <c r="G35" i="3"/>
  <c r="F35" i="3"/>
  <c r="E35" i="3"/>
  <c r="D35" i="3"/>
  <c r="C35" i="3"/>
  <c r="B35" i="3"/>
  <c r="H34" i="3"/>
  <c r="G34" i="3"/>
  <c r="F34" i="3"/>
  <c r="E34" i="3"/>
  <c r="D34" i="3"/>
  <c r="C34" i="3"/>
  <c r="B34" i="3"/>
  <c r="H33" i="3"/>
  <c r="G33" i="3"/>
  <c r="F33" i="3"/>
  <c r="E33" i="3"/>
  <c r="D33" i="3"/>
  <c r="C33" i="3"/>
  <c r="B33" i="3"/>
  <c r="H32" i="3"/>
  <c r="G32" i="3"/>
  <c r="F32" i="3"/>
  <c r="E32" i="3"/>
  <c r="D32" i="3"/>
  <c r="C32" i="3"/>
  <c r="B32" i="3"/>
  <c r="H31" i="3"/>
  <c r="G31" i="3"/>
  <c r="F31" i="3"/>
  <c r="E31" i="3"/>
  <c r="D31" i="3"/>
  <c r="C31" i="3"/>
  <c r="B31" i="3"/>
  <c r="H30" i="3"/>
  <c r="G30" i="3"/>
  <c r="F30" i="3"/>
  <c r="E30" i="3"/>
  <c r="D30" i="3"/>
  <c r="C30" i="3"/>
  <c r="B30" i="3"/>
  <c r="H29" i="3"/>
  <c r="G29" i="3"/>
  <c r="F29" i="3"/>
  <c r="E29" i="3"/>
  <c r="D29" i="3"/>
  <c r="C29" i="3"/>
  <c r="B29" i="3"/>
  <c r="H28" i="3"/>
  <c r="G28" i="3"/>
  <c r="F28" i="3"/>
  <c r="E28" i="3"/>
  <c r="D28" i="3"/>
  <c r="C28" i="3"/>
  <c r="B28" i="3"/>
  <c r="H27" i="3"/>
  <c r="G27" i="3"/>
  <c r="F27" i="3"/>
  <c r="E27" i="3"/>
  <c r="D27" i="3"/>
  <c r="C27" i="3"/>
  <c r="B27" i="3"/>
  <c r="H26" i="3"/>
  <c r="G26" i="3"/>
  <c r="F26" i="3"/>
  <c r="E26" i="3"/>
  <c r="D26" i="3"/>
  <c r="C26" i="3"/>
  <c r="B26" i="3"/>
  <c r="H25" i="3"/>
  <c r="G25" i="3"/>
  <c r="F25" i="3"/>
  <c r="E25" i="3"/>
  <c r="D25" i="3"/>
  <c r="C25" i="3"/>
  <c r="B25" i="3"/>
  <c r="H24" i="3"/>
  <c r="G24" i="3"/>
  <c r="F24" i="3"/>
  <c r="E24" i="3"/>
  <c r="D24" i="3"/>
  <c r="C24" i="3"/>
  <c r="B24" i="3"/>
  <c r="H23" i="3"/>
  <c r="G23" i="3"/>
  <c r="F23" i="3"/>
  <c r="E23" i="3"/>
  <c r="D23" i="3"/>
  <c r="C23" i="3"/>
  <c r="B23" i="3"/>
  <c r="H22" i="3"/>
  <c r="G22" i="3"/>
  <c r="F22" i="3"/>
  <c r="E22" i="3"/>
  <c r="D22" i="3"/>
  <c r="C22" i="3"/>
  <c r="B22" i="3"/>
  <c r="H21" i="3"/>
  <c r="G21" i="3"/>
  <c r="F21" i="3"/>
  <c r="E21" i="3"/>
  <c r="D21" i="3"/>
  <c r="C21" i="3"/>
  <c r="B21" i="3"/>
  <c r="H20" i="3"/>
  <c r="G20" i="3"/>
  <c r="F20" i="3"/>
  <c r="E20" i="3"/>
  <c r="D20" i="3"/>
  <c r="C20" i="3"/>
  <c r="B20" i="3"/>
  <c r="H19" i="3"/>
  <c r="G19" i="3"/>
  <c r="F19" i="3"/>
  <c r="E19" i="3"/>
  <c r="D19" i="3"/>
  <c r="C19" i="3"/>
  <c r="B19" i="3"/>
  <c r="H18" i="3"/>
  <c r="G18" i="3"/>
  <c r="F18" i="3"/>
  <c r="E18" i="3"/>
  <c r="D18" i="3"/>
  <c r="C18" i="3"/>
  <c r="B18" i="3"/>
  <c r="H17" i="3"/>
  <c r="G17" i="3"/>
  <c r="F17" i="3"/>
  <c r="E17" i="3"/>
  <c r="D17" i="3"/>
  <c r="C17" i="3"/>
  <c r="B17" i="3"/>
  <c r="H16" i="3"/>
  <c r="G16" i="3"/>
  <c r="F16" i="3"/>
  <c r="E16" i="3"/>
  <c r="D16" i="3"/>
  <c r="C16" i="3"/>
  <c r="B16" i="3"/>
  <c r="H15" i="3"/>
  <c r="G15" i="3"/>
  <c r="F15" i="3"/>
  <c r="E15" i="3"/>
  <c r="D15" i="3"/>
  <c r="C15" i="3"/>
  <c r="B15" i="3"/>
  <c r="H14" i="3"/>
  <c r="G14" i="3"/>
  <c r="F14" i="3"/>
  <c r="E14" i="3"/>
  <c r="D14" i="3"/>
  <c r="C14" i="3"/>
  <c r="B14" i="3"/>
  <c r="H13" i="3"/>
  <c r="G13" i="3"/>
  <c r="F13" i="3"/>
  <c r="E13" i="3"/>
  <c r="D13" i="3"/>
  <c r="C13" i="3"/>
  <c r="B13" i="3"/>
  <c r="H12" i="3"/>
  <c r="G12" i="3"/>
  <c r="F12" i="3"/>
  <c r="E12" i="3"/>
  <c r="D12" i="3"/>
  <c r="C12" i="3"/>
  <c r="B12" i="3"/>
  <c r="H11" i="3"/>
  <c r="G11" i="3"/>
  <c r="F11" i="3"/>
  <c r="E11" i="3"/>
  <c r="D11" i="3"/>
  <c r="C11" i="3"/>
  <c r="B11" i="3"/>
  <c r="H10" i="3"/>
  <c r="G10" i="3"/>
  <c r="F10" i="3"/>
  <c r="E10" i="3"/>
  <c r="D10" i="3"/>
  <c r="C10" i="3"/>
  <c r="B10" i="3"/>
  <c r="H9" i="3"/>
  <c r="G9" i="3"/>
  <c r="F9" i="3"/>
  <c r="E9" i="3"/>
  <c r="D9" i="3"/>
  <c r="C9" i="3"/>
  <c r="B9" i="3"/>
  <c r="H8" i="3"/>
  <c r="G8" i="3"/>
  <c r="F8" i="3"/>
  <c r="E8" i="3"/>
  <c r="D8" i="3"/>
  <c r="C8" i="3"/>
  <c r="B8" i="3"/>
  <c r="H7" i="3"/>
  <c r="G7" i="3"/>
  <c r="F7" i="3"/>
  <c r="E7" i="3"/>
  <c r="D7" i="3"/>
  <c r="C7" i="3"/>
  <c r="B7" i="3"/>
  <c r="H6" i="3"/>
  <c r="G6" i="3"/>
  <c r="F6" i="3"/>
  <c r="E6" i="3"/>
  <c r="D6" i="3"/>
  <c r="C6" i="3"/>
  <c r="B6" i="3"/>
  <c r="H5" i="3"/>
  <c r="G5" i="3"/>
  <c r="F5" i="3"/>
  <c r="E5" i="3"/>
  <c r="D5" i="3"/>
  <c r="C5" i="3"/>
  <c r="B5" i="3"/>
  <c r="H4" i="3"/>
  <c r="G4" i="3"/>
  <c r="F4" i="3"/>
  <c r="E4" i="3"/>
  <c r="D4" i="3"/>
  <c r="C4" i="3"/>
  <c r="B4" i="3"/>
  <c r="H3" i="3"/>
  <c r="G3" i="3"/>
  <c r="F3" i="3"/>
  <c r="E3" i="3"/>
  <c r="D3" i="3"/>
  <c r="C3" i="3"/>
  <c r="B3" i="3"/>
  <c r="G2" i="3"/>
  <c r="F2" i="3"/>
  <c r="E2" i="3"/>
  <c r="D2" i="3"/>
  <c r="C2" i="3"/>
  <c r="B2" i="3"/>
  <c r="F7" i="5" l="1"/>
  <c r="D3" i="4"/>
  <c r="E3" i="4" s="1"/>
  <c r="E8" i="5" s="1"/>
  <c r="D7" i="4"/>
  <c r="E7" i="4" s="1"/>
  <c r="D6" i="4"/>
  <c r="E6" i="4" s="1"/>
  <c r="E11" i="5" s="1"/>
  <c r="D4" i="4"/>
  <c r="E4" i="4" s="1"/>
  <c r="E9" i="5" s="1"/>
  <c r="D2" i="4"/>
  <c r="E2" i="4" s="1"/>
  <c r="D5" i="4"/>
  <c r="E5" i="4" s="1"/>
  <c r="E10" i="5" s="1"/>
  <c r="C3" i="4"/>
  <c r="C4" i="4"/>
  <c r="C5" i="4"/>
  <c r="C6" i="4"/>
  <c r="F5" i="4" l="1"/>
  <c r="C10" i="5"/>
  <c r="D10" i="5" s="1"/>
  <c r="F4" i="4"/>
  <c r="C9" i="5"/>
  <c r="D9" i="5" s="1"/>
  <c r="C12" i="5"/>
  <c r="D12" i="5" s="1"/>
  <c r="F7" i="4"/>
  <c r="F3" i="4"/>
  <c r="C8" i="5"/>
  <c r="D8" i="5" s="1"/>
  <c r="C11" i="5"/>
  <c r="D11" i="5" s="1"/>
  <c r="F6" i="4"/>
  <c r="C7" i="5"/>
  <c r="F2" i="4"/>
  <c r="G12" i="5" l="1"/>
  <c r="F12" i="5"/>
  <c r="G7" i="5"/>
  <c r="G8" i="5"/>
  <c r="F8" i="5"/>
  <c r="G9" i="5"/>
  <c r="F9" i="5"/>
  <c r="G10" i="5"/>
  <c r="F10" i="5"/>
  <c r="G11" i="5"/>
  <c r="F11" i="5"/>
</calcChain>
</file>

<file path=xl/sharedStrings.xml><?xml version="1.0" encoding="utf-8"?>
<sst xmlns="http://schemas.openxmlformats.org/spreadsheetml/2006/main" count="81" uniqueCount="72">
  <si>
    <t>CAPM Analysis Project</t>
  </si>
  <si>
    <t>Purpose</t>
  </si>
  <si>
    <t>Analyze systematic risk and expected return across selected companies using CAPM.</t>
  </si>
  <si>
    <t>PG, AAPL, JPM, XOM, JNJ, KO</t>
  </si>
  <si>
    <t>Market benchmark</t>
  </si>
  <si>
    <t>S&amp;P 500 (^GSPC)</t>
  </si>
  <si>
    <t>Risk-free rate</t>
  </si>
  <si>
    <t>Recommended workflow</t>
  </si>
  <si>
    <t>Raw Data → Returns → Beta → CAPM → Charts → Insights</t>
  </si>
  <si>
    <t>Data frequency</t>
  </si>
  <si>
    <t>Date</t>
  </si>
  <si>
    <t>PG</t>
  </si>
  <si>
    <t>AAPL</t>
  </si>
  <si>
    <t>JPM</t>
  </si>
  <si>
    <t>XOM</t>
  </si>
  <si>
    <t>JNJ</t>
  </si>
  <si>
    <t>KO</t>
  </si>
  <si>
    <t>Returns begin on the second observation because the first period has no prior price.</t>
  </si>
  <si>
    <t>Company</t>
  </si>
  <si>
    <t>Ticker</t>
  </si>
  <si>
    <t>Beta</t>
  </si>
  <si>
    <t>Average Monthly Return</t>
  </si>
  <si>
    <t>Annualized Return</t>
  </si>
  <si>
    <t>Interpretation</t>
  </si>
  <si>
    <t>Procter &amp; Gamble</t>
  </si>
  <si>
    <t>Apple</t>
  </si>
  <si>
    <t>JPMorgan Chase</t>
  </si>
  <si>
    <t>Exxon Mobil</t>
  </si>
  <si>
    <t>Johnson &amp; Johnson</t>
  </si>
  <si>
    <t>Coca-Cola</t>
  </si>
  <si>
    <t>CAPM Inputs</t>
  </si>
  <si>
    <t>Expected market return</t>
  </si>
  <si>
    <t>Market risk premium</t>
  </si>
  <si>
    <t>CAPM Expected Return</t>
  </si>
  <si>
    <t>Historical Annualized Return</t>
  </si>
  <si>
    <t>Alpha</t>
  </si>
  <si>
    <t>Actual - CAPM</t>
  </si>
  <si>
    <t>Charts</t>
  </si>
  <si>
    <t>Insights &amp; Interpretation</t>
  </si>
  <si>
    <t>6. What does the Security Market Line suggest about the relationship between beta and expected return?</t>
  </si>
  <si>
    <t>Procter &amp; Gamble PG</t>
  </si>
  <si>
    <t>Apple Inc. AAPL</t>
  </si>
  <si>
    <t>JPMorgan Chase &amp; Co. JPM</t>
  </si>
  <si>
    <t>Exxon Mobil Corporation XOM</t>
  </si>
  <si>
    <t>Johnson &amp; Johnson JNJ</t>
  </si>
  <si>
    <t>The Coca-Cola Company KO</t>
  </si>
  <si>
    <t>S&amp;P 500 ^GSPC</t>
  </si>
  <si>
    <t>Coca-Cola KO</t>
  </si>
  <si>
    <t>Exxon Mobil XOM</t>
  </si>
  <si>
    <t>Source</t>
  </si>
  <si>
    <t>Risk-free rate (3-month T-Bill)</t>
  </si>
  <si>
    <t>U.S. Dept of Treasury- 13-Week Coupon, 07/31/2026</t>
  </si>
  <si>
    <t>Yahoo Finance - S&amp;P 500 (^GSPC), 08/2021-07/2026</t>
  </si>
  <si>
    <t>Calculated: Rm-Rf</t>
  </si>
  <si>
    <r>
      <t xml:space="preserve">1. Which company has the </t>
    </r>
    <r>
      <rPr>
        <b/>
        <sz val="11"/>
        <color rgb="FF00B050"/>
        <rFont val="Calibri"/>
        <family val="2"/>
      </rPr>
      <t>highest</t>
    </r>
    <r>
      <rPr>
        <b/>
        <sz val="11"/>
        <rFont val="Calibri"/>
        <family val="2"/>
      </rPr>
      <t xml:space="preserve"> beta?</t>
    </r>
  </si>
  <si>
    <r>
      <t xml:space="preserve">2. Which company has the </t>
    </r>
    <r>
      <rPr>
        <b/>
        <sz val="11"/>
        <color rgb="FFFF0000"/>
        <rFont val="Calibri"/>
        <family val="2"/>
      </rPr>
      <t>lowest</t>
    </r>
    <r>
      <rPr>
        <b/>
        <sz val="11"/>
        <rFont val="Calibri"/>
        <family val="2"/>
      </rPr>
      <t xml:space="preserve"> beta?</t>
    </r>
  </si>
  <si>
    <r>
      <t xml:space="preserve">3. Which companies appear </t>
    </r>
    <r>
      <rPr>
        <b/>
        <sz val="11"/>
        <color rgb="FFFF0000"/>
        <rFont val="Calibri"/>
        <family val="2"/>
      </rPr>
      <t>more sensitive</t>
    </r>
    <r>
      <rPr>
        <b/>
        <sz val="11"/>
        <rFont val="Calibri"/>
        <family val="2"/>
      </rPr>
      <t xml:space="preserve"> to market movements?</t>
    </r>
  </si>
  <si>
    <r>
      <t xml:space="preserve">4. Which companies have </t>
    </r>
    <r>
      <rPr>
        <b/>
        <sz val="11"/>
        <color rgb="FF00B050"/>
        <rFont val="Calibri"/>
        <family val="2"/>
      </rPr>
      <t>actual returns above CAPM expected returns</t>
    </r>
    <r>
      <rPr>
        <b/>
        <sz val="11"/>
        <rFont val="Calibri"/>
        <family val="2"/>
      </rPr>
      <t>?</t>
    </r>
  </si>
  <si>
    <r>
      <t xml:space="preserve">5. Which company has the largest </t>
    </r>
    <r>
      <rPr>
        <b/>
        <sz val="11"/>
        <color rgb="FF00B050"/>
        <rFont val="Calibri"/>
        <family val="2"/>
      </rPr>
      <t>positive</t>
    </r>
    <r>
      <rPr>
        <b/>
        <sz val="11"/>
        <rFont val="Calibri"/>
        <family val="2"/>
      </rPr>
      <t>/</t>
    </r>
    <r>
      <rPr>
        <b/>
        <sz val="11"/>
        <color rgb="FFFF0000"/>
        <rFont val="Calibri"/>
        <family val="2"/>
      </rPr>
      <t>negative</t>
    </r>
    <r>
      <rPr>
        <b/>
        <sz val="11"/>
        <rFont val="Calibri"/>
        <family val="2"/>
      </rPr>
      <t xml:space="preserve"> alpha?</t>
    </r>
  </si>
  <si>
    <r>
      <t xml:space="preserve">7. What are the key </t>
    </r>
    <r>
      <rPr>
        <b/>
        <sz val="11"/>
        <color theme="9" tint="-0.249977111117893"/>
        <rFont val="Calibri"/>
        <family val="2"/>
      </rPr>
      <t>limitations</t>
    </r>
    <r>
      <rPr>
        <b/>
        <sz val="11"/>
        <rFont val="Calibri"/>
        <family val="2"/>
      </rPr>
      <t xml:space="preserve"> of using CAPM for this analysis?</t>
    </r>
  </si>
  <si>
    <t>Coca-Cola has the lowest beta.</t>
  </si>
  <si>
    <t xml:space="preserve">Coca-cola (27.74%) has the largest positive, while Johnson &amp; Johnson (-2.34%) has the largest negative alpha. </t>
  </si>
  <si>
    <t>All companies expect Johnson &amp; Johnson have actual returns above their CAPM expected returns.</t>
  </si>
  <si>
    <t>The Security Market Line shows a positive relationship between beta and expected return where y = 0.0841x + 0.0377. This is consistent with the CAPM framework.</t>
  </si>
  <si>
    <t xml:space="preserve">CAPM is limited because it relies on historical beta and assumes that systematic risk is the primary factor driving expected returns. Actual returns can also be affected by company-specific events, economic conditions, interest rates, and other market factors. Beta estimates may also vary depending on methodology, benchmark, and time period. For example, publisjed Value Line Report beta estimates may differ from the calculated beta in this analysis because of differences in methodology and market benchmark. </t>
  </si>
  <si>
    <t xml:space="preserve">P&amp;G has the highest beta. </t>
  </si>
  <si>
    <t>U.S. Dept of Treasury- 13-Week Coupon</t>
  </si>
  <si>
    <t xml:space="preserve">Monthly observations </t>
  </si>
  <si>
    <t>Note</t>
  </si>
  <si>
    <t>Raw Data is unchanged; Sourced from Yahoo Finance</t>
  </si>
  <si>
    <t>Companies</t>
  </si>
  <si>
    <t xml:space="preserve">P&amp;G had the highest beta and was the most sensitive to market movements among the companies analyzed. Beta ranged from 0.18 to 1.09, indicating differences in sensitivity to the overall market movements.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</si>
</sst>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Calibri"/>
      <family val="2"/>
    </font>
    <font>
      <b/>
      <sz val="11"/>
      <name val="Calibri"/>
      <family val="2"/>
    </font>
    <font>
      <b/>
      <sz val="11"/>
      <color rgb="FFFFFFFF"/>
      <name val="Calibri"/>
      <family val="2"/>
    </font>
    <font>
      <i/>
      <sz val="11"/>
      <name val="Calibri"/>
      <family val="2"/>
    </font>
    <font>
      <sz val="11"/>
      <name val="Calibri"/>
      <family val="2"/>
    </font>
    <font>
      <b/>
      <sz val="11"/>
      <color rgb="FF00B050"/>
      <name val="Calibri"/>
      <family val="2"/>
    </font>
    <font>
      <b/>
      <sz val="11"/>
      <color rgb="FFFF0000"/>
      <name val="Calibri"/>
      <family val="2"/>
    </font>
    <font>
      <b/>
      <sz val="11"/>
      <color theme="9" tint="-0.249977111117893"/>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4">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3" fillId="2" borderId="1" xfId="0" applyFont="1" applyFill="1" applyBorder="1"/>
    <xf numFmtId="0" fontId="0" fillId="0" borderId="1" xfId="0" applyBorder="1"/>
    <xf numFmtId="2" fontId="0" fillId="0" borderId="1" xfId="0" applyNumberFormat="1" applyBorder="1"/>
    <xf numFmtId="0" fontId="4" fillId="0" borderId="0" xfId="0" applyFont="1"/>
    <xf numFmtId="10" fontId="0" fillId="0" borderId="1" xfId="0" applyNumberFormat="1" applyBorder="1"/>
    <xf numFmtId="0" fontId="2" fillId="0" borderId="1" xfId="0" applyFont="1" applyBorder="1"/>
    <xf numFmtId="0" fontId="1" fillId="2" borderId="0" xfId="0" applyFont="1" applyFill="1"/>
    <xf numFmtId="0" fontId="2" fillId="0" borderId="0" xfId="0" applyFont="1" applyAlignment="1">
      <alignment wrapText="1"/>
    </xf>
    <xf numFmtId="0" fontId="3" fillId="2" borderId="1" xfId="0" applyFont="1" applyFill="1" applyBorder="1" applyAlignment="1">
      <alignment wrapText="1"/>
    </xf>
    <xf numFmtId="14" fontId="0" fillId="0" borderId="1" xfId="0" applyNumberFormat="1" applyBorder="1"/>
    <xf numFmtId="14" fontId="5" fillId="0" borderId="0" xfId="0" applyNumberFormat="1" applyFont="1" applyFill="1" applyAlignment="1">
      <alignment horizontal="right" vertical="center" wrapText="1"/>
    </xf>
    <xf numFmtId="2" fontId="5" fillId="0" borderId="1" xfId="0" applyNumberFormat="1" applyFont="1" applyFill="1" applyBorder="1"/>
    <xf numFmtId="2" fontId="5" fillId="0" borderId="1" xfId="0" applyNumberFormat="1" applyFont="1" applyFill="1" applyBorder="1" applyAlignment="1">
      <alignment wrapText="1"/>
    </xf>
    <xf numFmtId="0" fontId="0" fillId="0" borderId="1" xfId="0" applyBorder="1" applyAlignment="1">
      <alignment wrapText="1"/>
    </xf>
    <xf numFmtId="10" fontId="0" fillId="0" borderId="1" xfId="0" applyNumberFormat="1" applyBorder="1" applyAlignment="1">
      <alignment wrapText="1"/>
    </xf>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wrapText="1"/>
    </xf>
    <xf numFmtId="0" fontId="0" fillId="0" borderId="1" xfId="0" applyFont="1" applyBorder="1" applyAlignment="1">
      <alignment vertical="top" wrapText="1"/>
    </xf>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Beta by Company</a:t>
            </a:r>
          </a:p>
        </c:rich>
      </c:tx>
      <c:overlay val="1"/>
    </c:title>
    <c:autoTitleDeleted val="0"/>
    <c:plotArea>
      <c:layout>
        <c:manualLayout>
          <c:layoutTarget val="inner"/>
          <c:xMode val="edge"/>
          <c:yMode val="edge"/>
          <c:x val="3.7629629629629631E-2"/>
          <c:y val="0.11465277777777778"/>
          <c:w val="0.89880213393641561"/>
          <c:h val="0.68249914412872303"/>
        </c:manualLayout>
      </c:layout>
      <c:barChart>
        <c:barDir val="col"/>
        <c:grouping val="clustered"/>
        <c:varyColors val="1"/>
        <c:ser>
          <c:idx val="0"/>
          <c:order val="0"/>
          <c:tx>
            <c:strRef>
              <c:f>Beta!$C$1</c:f>
              <c:strCache>
                <c:ptCount val="1"/>
                <c:pt idx="0">
                  <c:v>Beta</c:v>
                </c:pt>
              </c:strCache>
            </c:strRef>
          </c:tx>
          <c:spPr>
            <a:ln>
              <a:prstDash val="solid"/>
            </a:ln>
          </c:spPr>
          <c:invertIfNegative val="1"/>
          <c:dLbls>
            <c:dLbl>
              <c:idx val="0"/>
              <c:layout>
                <c:manualLayout>
                  <c:x val="-2.3518518518518506E-3"/>
                  <c:y val="4.8637394901908437E-2"/>
                </c:manualLayout>
              </c:layout>
              <c:spPr>
                <a:noFill/>
                <a:ln>
                  <a:noFill/>
                </a:ln>
                <a:effectLst/>
              </c:spPr>
              <c:txPr>
                <a:bodyPr wrap="square" lIns="38100" tIns="19050" rIns="38100" bIns="19050" anchor="ctr">
                  <a:noAutofit/>
                </a:bodyPr>
                <a:lstStyle/>
                <a:p>
                  <a:pPr>
                    <a:defRPr sz="900">
                      <a:ln>
                        <a:noFill/>
                      </a:ln>
                      <a:solidFill>
                        <a:schemeClr val="tx1"/>
                      </a:solidFill>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420525925925926"/>
                      <c:h val="0.11302083586983871"/>
                    </c:manualLayout>
                  </c15:layout>
                </c:ext>
                <c:ext xmlns:c16="http://schemas.microsoft.com/office/drawing/2014/chart" uri="{C3380CC4-5D6E-409C-BE32-E72D297353CC}">
                  <c16:uniqueId val="{00000003-D1AE-4108-9D40-DB54AB80486F}"/>
                </c:ext>
              </c:extLst>
            </c:dLbl>
            <c:dLbl>
              <c:idx val="1"/>
              <c:layout>
                <c:manualLayout>
                  <c:x val="4.7037037037037039E-3"/>
                  <c:y val="8.2466863093643723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1AE-4108-9D40-DB54AB80486F}"/>
                </c:ext>
              </c:extLst>
            </c:dLbl>
            <c:dLbl>
              <c:idx val="2"/>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1AE-4108-9D40-DB54AB80486F}"/>
                </c:ext>
              </c:extLst>
            </c:dLbl>
            <c:dLbl>
              <c:idx val="3"/>
              <c:layout>
                <c:manualLayout>
                  <c:x val="-1.8083623944480441E-3"/>
                  <c:y val="1.5211734896774267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1AE-4108-9D40-DB54AB80486F}"/>
                </c:ext>
              </c:extLst>
            </c:dLbl>
            <c:dLbl>
              <c:idx val="4"/>
              <c:layout>
                <c:manualLayout>
                  <c:x val="-4.6566846678516042E-3"/>
                  <c:y val="5.2310733885537038E-2"/>
                </c:manualLayout>
              </c:layout>
              <c:spPr>
                <a:noFill/>
                <a:ln>
                  <a:noFill/>
                </a:ln>
                <a:effectLst/>
              </c:spPr>
              <c:txPr>
                <a:bodyPr wrap="square" lIns="38100" tIns="19050" rIns="38100" bIns="19050" anchor="ctr">
                  <a:noAutofit/>
                </a:bodyPr>
                <a:lstStyle/>
                <a:p>
                  <a:pPr>
                    <a:defRPr sz="900">
                      <a:ln>
                        <a:noFill/>
                      </a:ln>
                      <a:solidFill>
                        <a:schemeClr val="tx1"/>
                      </a:solidFill>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2099223588343931"/>
                      <c:h val="0.12608742089057048"/>
                    </c:manualLayout>
                  </c15:layout>
                </c:ext>
                <c:ext xmlns:c16="http://schemas.microsoft.com/office/drawing/2014/chart" uri="{C3380CC4-5D6E-409C-BE32-E72D297353CC}">
                  <c16:uniqueId val="{00000001-D1AE-4108-9D40-DB54AB80486F}"/>
                </c:ext>
              </c:extLst>
            </c:dLbl>
            <c:dLbl>
              <c:idx val="5"/>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D1AE-4108-9D40-DB54AB80486F}"/>
                </c:ext>
              </c:extLst>
            </c:dLbl>
            <c:spPr>
              <a:noFill/>
              <a:ln>
                <a:noFill/>
              </a:ln>
              <a:effectLst/>
            </c:spPr>
            <c:txPr>
              <a:bodyPr wrap="square" lIns="38100" tIns="19050" rIns="38100" bIns="19050" anchor="ctr">
                <a:spAutoFit/>
              </a:bodyPr>
              <a:lstStyle/>
              <a:p>
                <a:pPr>
                  <a:defRPr sz="900">
                    <a:ln>
                      <a:noFill/>
                    </a:ln>
                    <a:solidFill>
                      <a:schemeClr val="tx1"/>
                    </a:solidFill>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ext>
            </c:extLst>
          </c:dLbls>
          <c:cat>
            <c:strRef>
              <c:f>Beta!$A$2:$A$7</c:f>
              <c:strCache>
                <c:ptCount val="6"/>
                <c:pt idx="0">
                  <c:v>Procter &amp; Gamble</c:v>
                </c:pt>
                <c:pt idx="1">
                  <c:v>Apple</c:v>
                </c:pt>
                <c:pt idx="2">
                  <c:v>JPMorgan Chase</c:v>
                </c:pt>
                <c:pt idx="3">
                  <c:v>Exxon Mobil</c:v>
                </c:pt>
                <c:pt idx="4">
                  <c:v>Johnson &amp; Johnson</c:v>
                </c:pt>
                <c:pt idx="5">
                  <c:v>Coca-Cola</c:v>
                </c:pt>
              </c:strCache>
            </c:strRef>
          </c:cat>
          <c:val>
            <c:numRef>
              <c:f>Beta!$C$2:$C$7</c:f>
              <c:numCache>
                <c:formatCode>0.00</c:formatCode>
                <c:ptCount val="6"/>
                <c:pt idx="0">
                  <c:v>1.0878099160863826</c:v>
                </c:pt>
                <c:pt idx="1">
                  <c:v>0.24149586051295135</c:v>
                </c:pt>
                <c:pt idx="2">
                  <c:v>0.98988995203023666</c:v>
                </c:pt>
                <c:pt idx="3">
                  <c:v>0.33988209951357728</c:v>
                </c:pt>
                <c:pt idx="4">
                  <c:v>0.3876887146734046</c:v>
                </c:pt>
                <c:pt idx="5">
                  <c:v>0.18014982141543512</c:v>
                </c:pt>
              </c:numCache>
            </c:numRef>
          </c:val>
          <c:extLst>
            <c:ext xmlns:c16="http://schemas.microsoft.com/office/drawing/2014/chart" uri="{C3380CC4-5D6E-409C-BE32-E72D297353CC}">
              <c16:uniqueId val="{00000000-D1AE-4108-9D40-DB54AB80486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Company</a:t>
                </a:r>
              </a:p>
            </c:rich>
          </c:tx>
          <c:layout>
            <c:manualLayout>
              <c:xMode val="edge"/>
              <c:yMode val="edge"/>
              <c:x val="0.44521256488386585"/>
              <c:y val="0.95315987675453617"/>
            </c:manualLayout>
          </c:layout>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Beta</a:t>
                </a:r>
              </a:p>
            </c:rich>
          </c:tx>
          <c:overlay val="1"/>
        </c:title>
        <c:numFmt formatCode="0.00"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CAPM Expected vs Actual Return</a:t>
            </a:r>
          </a:p>
        </c:rich>
      </c:tx>
      <c:overlay val="1"/>
    </c:title>
    <c:autoTitleDeleted val="0"/>
    <c:plotArea>
      <c:layout>
        <c:manualLayout>
          <c:layoutTarget val="inner"/>
          <c:xMode val="edge"/>
          <c:yMode val="edge"/>
          <c:x val="4.6896805084434431E-2"/>
          <c:y val="0.12208876875465194"/>
          <c:w val="0.92654425327527445"/>
          <c:h val="0.73754767680232602"/>
        </c:manualLayout>
      </c:layout>
      <c:barChart>
        <c:barDir val="col"/>
        <c:grouping val="clustered"/>
        <c:varyColors val="1"/>
        <c:ser>
          <c:idx val="0"/>
          <c:order val="0"/>
          <c:tx>
            <c:strRef>
              <c:f>CAPM!$D$6</c:f>
              <c:strCache>
                <c:ptCount val="1"/>
                <c:pt idx="0">
                  <c:v>CAPM Expected Return</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CAPM!$A$7:$A$12</c:f>
              <c:strCache>
                <c:ptCount val="6"/>
                <c:pt idx="0">
                  <c:v>Procter &amp; Gamble</c:v>
                </c:pt>
                <c:pt idx="1">
                  <c:v>Apple</c:v>
                </c:pt>
                <c:pt idx="2">
                  <c:v>JPMorgan Chase</c:v>
                </c:pt>
                <c:pt idx="3">
                  <c:v>Exxon Mobil</c:v>
                </c:pt>
                <c:pt idx="4">
                  <c:v>Johnson &amp; Johnson</c:v>
                </c:pt>
                <c:pt idx="5">
                  <c:v>Coca-Cola</c:v>
                </c:pt>
              </c:strCache>
            </c:strRef>
          </c:cat>
          <c:val>
            <c:numRef>
              <c:f>CAPM!$D$7:$D$12</c:f>
              <c:numCache>
                <c:formatCode>0.00%</c:formatCode>
                <c:ptCount val="6"/>
                <c:pt idx="0">
                  <c:v>0.12923800832295684</c:v>
                </c:pt>
                <c:pt idx="1">
                  <c:v>5.8021611122212574E-2</c:v>
                </c:pt>
                <c:pt idx="2">
                  <c:v>0.12099815101681757</c:v>
                </c:pt>
                <c:pt idx="3">
                  <c:v>6.6300704952231088E-2</c:v>
                </c:pt>
                <c:pt idx="4">
                  <c:v>7.0323579051537563E-2</c:v>
                </c:pt>
                <c:pt idx="5">
                  <c:v>5.285940938600138E-2</c:v>
                </c:pt>
              </c:numCache>
            </c:numRef>
          </c:val>
          <c:extLst>
            <c:ext xmlns:c16="http://schemas.microsoft.com/office/drawing/2014/chart" uri="{C3380CC4-5D6E-409C-BE32-E72D297353CC}">
              <c16:uniqueId val="{00000000-B903-42E7-B93E-43953613E79D}"/>
            </c:ext>
          </c:extLst>
        </c:ser>
        <c:ser>
          <c:idx val="1"/>
          <c:order val="1"/>
          <c:tx>
            <c:strRef>
              <c:f>CAPM!$E$6</c:f>
              <c:strCache>
                <c:ptCount val="1"/>
                <c:pt idx="0">
                  <c:v>Historical Annualized Return</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CAPM!$A$7:$A$12</c:f>
              <c:strCache>
                <c:ptCount val="6"/>
                <c:pt idx="0">
                  <c:v>Procter &amp; Gamble</c:v>
                </c:pt>
                <c:pt idx="1">
                  <c:v>Apple</c:v>
                </c:pt>
                <c:pt idx="2">
                  <c:v>JPMorgan Chase</c:v>
                </c:pt>
                <c:pt idx="3">
                  <c:v>Exxon Mobil</c:v>
                </c:pt>
                <c:pt idx="4">
                  <c:v>Johnson &amp; Johnson</c:v>
                </c:pt>
                <c:pt idx="5">
                  <c:v>Coca-Cola</c:v>
                </c:pt>
              </c:strCache>
            </c:strRef>
          </c:cat>
          <c:val>
            <c:numRef>
              <c:f>CAPM!$E$7:$E$12</c:f>
              <c:numCache>
                <c:formatCode>0.00%</c:formatCode>
                <c:ptCount val="6"/>
                <c:pt idx="0">
                  <c:v>0.19661968380304828</c:v>
                </c:pt>
                <c:pt idx="1">
                  <c:v>0.13081966880805806</c:v>
                </c:pt>
                <c:pt idx="2">
                  <c:v>0.23767059642626487</c:v>
                </c:pt>
                <c:pt idx="3">
                  <c:v>0.14259029386986444</c:v>
                </c:pt>
                <c:pt idx="4">
                  <c:v>4.6922796928410726E-2</c:v>
                </c:pt>
                <c:pt idx="5">
                  <c:v>0.32529197913312702</c:v>
                </c:pt>
              </c:numCache>
            </c:numRef>
          </c:val>
          <c:extLst>
            <c:ext xmlns:c16="http://schemas.microsoft.com/office/drawing/2014/chart" uri="{C3380CC4-5D6E-409C-BE32-E72D297353CC}">
              <c16:uniqueId val="{00000001-B903-42E7-B93E-43953613E79D}"/>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Company</a:t>
                </a:r>
              </a:p>
            </c:rich>
          </c:tx>
          <c:overlay val="1"/>
        </c:title>
        <c:numFmt formatCode="General" sourceLinked="1"/>
        <c:majorTickMark val="out"/>
        <c:minorTickMark val="none"/>
        <c:tickLblPos val="nextTo"/>
        <c:txPr>
          <a:bodyPr/>
          <a:lstStyle/>
          <a:p>
            <a:pPr>
              <a:defRPr>
                <a:solidFill>
                  <a:schemeClr val="tx1"/>
                </a:solidFill>
              </a:defRPr>
            </a:pPr>
            <a:endParaRPr lang="en-US"/>
          </a:p>
        </c:txPr>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Annual Return</a:t>
                </a:r>
              </a:p>
            </c:rich>
          </c:tx>
          <c:overlay val="1"/>
        </c:title>
        <c:numFmt formatCode="0.00%" sourceLinked="1"/>
        <c:majorTickMark val="out"/>
        <c:minorTickMark val="none"/>
        <c:tickLblPos val="nextTo"/>
        <c:crossAx val="10"/>
        <c:crosses val="autoZero"/>
        <c:crossBetween val="between"/>
      </c:valAx>
    </c:plotArea>
    <c:legend>
      <c:legendPos val="t"/>
      <c:layout>
        <c:manualLayout>
          <c:xMode val="edge"/>
          <c:yMode val="edge"/>
          <c:x val="0.21152720448579185"/>
          <c:y val="7.2090218456311209E-2"/>
          <c:w val="0.57249401712420489"/>
          <c:h val="5.2074624581214604E-2"/>
        </c:manualLayout>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Security Market Line</a:t>
            </a:r>
          </a:p>
        </c:rich>
      </c:tx>
      <c:layout>
        <c:manualLayout>
          <c:xMode val="edge"/>
          <c:yMode val="edge"/>
          <c:x val="0.28638703703703705"/>
          <c:y val="3.745760212358059E-2"/>
        </c:manualLayout>
      </c:layout>
      <c:overlay val="1"/>
    </c:title>
    <c:autoTitleDeleted val="0"/>
    <c:plotArea>
      <c:layout>
        <c:manualLayout>
          <c:layoutTarget val="inner"/>
          <c:xMode val="edge"/>
          <c:yMode val="edge"/>
          <c:x val="3.7629629629629631E-2"/>
          <c:y val="0.12069671795375969"/>
          <c:w val="0.72665592592592587"/>
          <c:h val="0.81006149891087664"/>
        </c:manualLayout>
      </c:layout>
      <c:scatterChart>
        <c:scatterStyle val="lineMarker"/>
        <c:varyColors val="1"/>
        <c:ser>
          <c:idx val="0"/>
          <c:order val="0"/>
          <c:tx>
            <c:v>Companies</c:v>
          </c:tx>
          <c:spPr>
            <a:ln>
              <a:prstDash val="solid"/>
            </a:ln>
          </c:spPr>
          <c:marker>
            <c:symbol val="none"/>
          </c:marker>
          <c:dLbls>
            <c:spPr>
              <a:noFill/>
              <a:ln>
                <a:noFill/>
              </a:ln>
              <a:effectLst/>
            </c:spPr>
            <c:txPr>
              <a:bodyPr/>
              <a:lstStyle/>
              <a:p>
                <a:pPr>
                  <a:defRPr sz="900">
                    <a:ln>
                      <a:noFill/>
                    </a:ln>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CAPM!$C$7:$C$12</c:f>
              <c:numCache>
                <c:formatCode>0.00</c:formatCode>
                <c:ptCount val="6"/>
                <c:pt idx="0">
                  <c:v>1.0878099160863826</c:v>
                </c:pt>
                <c:pt idx="1">
                  <c:v>0.24149586051295135</c:v>
                </c:pt>
                <c:pt idx="2">
                  <c:v>0.98988995203023666</c:v>
                </c:pt>
                <c:pt idx="3">
                  <c:v>0.33988209951357728</c:v>
                </c:pt>
                <c:pt idx="4">
                  <c:v>0.3876887146734046</c:v>
                </c:pt>
                <c:pt idx="5">
                  <c:v>0.18014982141543512</c:v>
                </c:pt>
              </c:numCache>
            </c:numRef>
          </c:xVal>
          <c:yVal>
            <c:numRef>
              <c:f>CAPM!$D$7:$D$12</c:f>
              <c:numCache>
                <c:formatCode>0.00%</c:formatCode>
                <c:ptCount val="6"/>
                <c:pt idx="0">
                  <c:v>0.12923800832295684</c:v>
                </c:pt>
                <c:pt idx="1">
                  <c:v>5.8021611122212574E-2</c:v>
                </c:pt>
                <c:pt idx="2">
                  <c:v>0.12099815101681757</c:v>
                </c:pt>
                <c:pt idx="3">
                  <c:v>6.6300704952231088E-2</c:v>
                </c:pt>
                <c:pt idx="4">
                  <c:v>7.0323579051537563E-2</c:v>
                </c:pt>
                <c:pt idx="5">
                  <c:v>5.285940938600138E-2</c:v>
                </c:pt>
              </c:numCache>
            </c:numRef>
          </c:yVal>
          <c:smooth val="1"/>
          <c:extLst>
            <c:ext xmlns:c16="http://schemas.microsoft.com/office/drawing/2014/chart" uri="{C3380CC4-5D6E-409C-BE32-E72D297353CC}">
              <c16:uniqueId val="{00000000-95DE-4B82-8A0F-5E18076B9ABD}"/>
            </c:ext>
          </c:extLst>
        </c:ser>
        <c:dLbls>
          <c:showLegendKey val="0"/>
          <c:showVal val="1"/>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US"/>
                  <a:t>Beta</a:t>
                </a:r>
              </a:p>
            </c:rich>
          </c:tx>
          <c:layout>
            <c:manualLayout>
              <c:xMode val="edge"/>
              <c:yMode val="edge"/>
              <c:x val="0.36563277777777775"/>
              <c:y val="0.93294999999999995"/>
            </c:manualLayout>
          </c:layout>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Expected Return</a:t>
                </a:r>
              </a:p>
            </c:rich>
          </c:tx>
          <c:overlay val="1"/>
        </c:title>
        <c:numFmt formatCode="0.00%" sourceLinked="1"/>
        <c:majorTickMark val="none"/>
        <c:minorTickMark val="none"/>
        <c:tickLblPos val="nextTo"/>
        <c:crossAx val="10"/>
        <c:crosses val="autoZero"/>
        <c:crossBetween val="midCat"/>
      </c:valAx>
    </c:plotArea>
    <c:legend>
      <c:legendPos val="r"/>
      <c:overlay val="0"/>
    </c:legend>
    <c:plotVisOnly val="1"/>
    <c:dispBlanksAs val="gap"/>
    <c:showDLblsOverMax val="1"/>
  </c:chart>
  <c:txPr>
    <a:bodyPr/>
    <a:lstStyle/>
    <a:p>
      <a:pPr>
        <a:defRPr>
          <a:solidFill>
            <a:schemeClr val="tx1"/>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228600</xdr:rowOff>
    </xdr:from>
    <xdr:ext cx="6105524" cy="440055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304800</xdr:colOff>
      <xdr:row>0</xdr:row>
      <xdr:rowOff>228600</xdr:rowOff>
    </xdr:from>
    <xdr:ext cx="6172199" cy="4410075"/>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27</xdr:row>
      <xdr:rowOff>19050</xdr:rowOff>
    </xdr:from>
    <xdr:ext cx="5457824" cy="33909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F19" sqref="F19"/>
    </sheetView>
  </sheetViews>
  <sheetFormatPr defaultRowHeight="15" x14ac:dyDescent="0.25"/>
  <cols>
    <col min="1" max="1" width="28" customWidth="1"/>
    <col min="2" max="2" width="90" customWidth="1"/>
  </cols>
  <sheetData>
    <row r="1" spans="1:2" ht="18.75" x14ac:dyDescent="0.25">
      <c r="A1" s="1" t="s">
        <v>0</v>
      </c>
      <c r="B1" s="1"/>
    </row>
    <row r="2" spans="1:2" x14ac:dyDescent="0.25">
      <c r="A2" s="2" t="s">
        <v>1</v>
      </c>
      <c r="B2" s="23" t="s">
        <v>2</v>
      </c>
    </row>
    <row r="3" spans="1:2" x14ac:dyDescent="0.25">
      <c r="A3" s="2" t="s">
        <v>70</v>
      </c>
      <c r="B3" s="3" t="s">
        <v>3</v>
      </c>
    </row>
    <row r="4" spans="1:2" x14ac:dyDescent="0.25">
      <c r="A4" s="2" t="s">
        <v>4</v>
      </c>
      <c r="B4" s="3" t="s">
        <v>5</v>
      </c>
    </row>
    <row r="5" spans="1:2" x14ac:dyDescent="0.25">
      <c r="A5" s="2" t="s">
        <v>6</v>
      </c>
      <c r="B5" s="3" t="s">
        <v>66</v>
      </c>
    </row>
    <row r="6" spans="1:2" x14ac:dyDescent="0.25">
      <c r="A6" s="2" t="s">
        <v>7</v>
      </c>
      <c r="B6" s="3" t="s">
        <v>8</v>
      </c>
    </row>
    <row r="7" spans="1:2" x14ac:dyDescent="0.25">
      <c r="A7" s="2" t="s">
        <v>9</v>
      </c>
      <c r="B7" s="3" t="s">
        <v>67</v>
      </c>
    </row>
    <row r="8" spans="1:2" x14ac:dyDescent="0.25">
      <c r="A8" s="2" t="s">
        <v>68</v>
      </c>
      <c r="B8" s="3"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pane ySplit="1" topLeftCell="A44" activePane="bottomLeft" state="frozen"/>
      <selection pane="bottomLeft" activeCell="K13" sqref="K13"/>
    </sheetView>
  </sheetViews>
  <sheetFormatPr defaultRowHeight="15" x14ac:dyDescent="0.25"/>
  <cols>
    <col min="1" max="1" width="10.140625" bestFit="1" customWidth="1"/>
    <col min="2" max="2" width="18.140625" customWidth="1"/>
    <col min="3" max="3" width="11" bestFit="1" customWidth="1"/>
    <col min="4" max="4" width="20.5703125" customWidth="1"/>
    <col min="5" max="5" width="15.85546875" customWidth="1"/>
    <col min="6" max="6" width="19" customWidth="1"/>
    <col min="7" max="7" width="11.140625" customWidth="1"/>
    <col min="8" max="8" width="13.85546875" customWidth="1"/>
  </cols>
  <sheetData>
    <row r="1" spans="1:8" ht="30" x14ac:dyDescent="0.25">
      <c r="A1" s="4" t="s">
        <v>10</v>
      </c>
      <c r="B1" s="12" t="s">
        <v>40</v>
      </c>
      <c r="C1" s="12" t="s">
        <v>41</v>
      </c>
      <c r="D1" s="12" t="s">
        <v>42</v>
      </c>
      <c r="E1" s="12" t="s">
        <v>48</v>
      </c>
      <c r="F1" s="12" t="s">
        <v>44</v>
      </c>
      <c r="G1" s="12" t="s">
        <v>47</v>
      </c>
      <c r="H1" s="12" t="s">
        <v>46</v>
      </c>
    </row>
    <row r="2" spans="1:8" x14ac:dyDescent="0.25">
      <c r="A2" s="14">
        <v>44409</v>
      </c>
      <c r="B2" s="15">
        <v>148.09059099999999</v>
      </c>
      <c r="C2" s="16">
        <v>151.30978400000001</v>
      </c>
      <c r="D2" s="15">
        <v>141.14089999999999</v>
      </c>
      <c r="E2" s="15">
        <v>48.567836999999997</v>
      </c>
      <c r="F2" s="15">
        <v>125.22551</v>
      </c>
      <c r="G2" s="15">
        <v>45.754665000000003</v>
      </c>
      <c r="H2" s="15">
        <v>4522.6801759999998</v>
      </c>
    </row>
    <row r="3" spans="1:8" x14ac:dyDescent="0.25">
      <c r="A3" s="14">
        <v>44440</v>
      </c>
      <c r="B3" s="15">
        <v>138.01501500000001</v>
      </c>
      <c r="C3" s="15">
        <v>141.14558400000001</v>
      </c>
      <c r="D3" s="15">
        <v>144.441101</v>
      </c>
      <c r="E3" s="15">
        <v>45.597358999999997</v>
      </c>
      <c r="F3" s="15">
        <v>122.947731</v>
      </c>
      <c r="G3" s="15">
        <v>49.363342000000003</v>
      </c>
      <c r="H3" s="15">
        <v>4307.5400390000004</v>
      </c>
    </row>
    <row r="4" spans="1:8" x14ac:dyDescent="0.25">
      <c r="A4" s="14">
        <v>44470</v>
      </c>
      <c r="B4" s="15">
        <v>146.11058</v>
      </c>
      <c r="C4" s="15">
        <v>142.351654</v>
      </c>
      <c r="D4" s="15">
        <v>150.815369</v>
      </c>
      <c r="E4" s="15">
        <v>48.986522999999998</v>
      </c>
      <c r="F4" s="15">
        <v>126.53278400000001</v>
      </c>
      <c r="G4" s="15">
        <v>54.104973000000001</v>
      </c>
      <c r="H4" s="15">
        <v>4605.3798829999996</v>
      </c>
    </row>
    <row r="5" spans="1:8" x14ac:dyDescent="0.25">
      <c r="A5" s="14">
        <v>44501</v>
      </c>
      <c r="B5" s="15">
        <v>161.46417199999999</v>
      </c>
      <c r="C5" s="15">
        <v>137.17021199999999</v>
      </c>
      <c r="D5" s="15">
        <v>140.99714700000001</v>
      </c>
      <c r="E5" s="15">
        <v>45.933441000000002</v>
      </c>
      <c r="F5" s="15">
        <v>127.93976600000001</v>
      </c>
      <c r="G5" s="15">
        <v>50.894267999999997</v>
      </c>
      <c r="H5" s="15">
        <v>4567</v>
      </c>
    </row>
    <row r="6" spans="1:8" x14ac:dyDescent="0.25">
      <c r="A6" s="14">
        <v>44531</v>
      </c>
      <c r="B6" s="15">
        <v>173.449432</v>
      </c>
      <c r="C6" s="15">
        <v>150.48873900000001</v>
      </c>
      <c r="D6" s="15">
        <v>140.57101399999999</v>
      </c>
      <c r="E6" s="15">
        <v>51.853554000000003</v>
      </c>
      <c r="F6" s="15">
        <v>144.75297499999999</v>
      </c>
      <c r="G6" s="15">
        <v>52.042450000000002</v>
      </c>
      <c r="H6" s="15">
        <v>4766.1801759999998</v>
      </c>
    </row>
    <row r="7" spans="1:8" x14ac:dyDescent="0.25">
      <c r="A7" s="14">
        <v>44562</v>
      </c>
      <c r="B7" s="15">
        <v>170.72418200000001</v>
      </c>
      <c r="C7" s="15">
        <v>151.56191999999999</v>
      </c>
      <c r="D7" s="15">
        <v>132.706467</v>
      </c>
      <c r="E7" s="15">
        <v>53.429920000000003</v>
      </c>
      <c r="F7" s="15">
        <v>142.74984699999999</v>
      </c>
      <c r="G7" s="15">
        <v>64.604416000000001</v>
      </c>
      <c r="H7" s="15">
        <v>4515.5498049999997</v>
      </c>
    </row>
    <row r="8" spans="1:8" x14ac:dyDescent="0.25">
      <c r="A8" s="14">
        <v>44593</v>
      </c>
      <c r="B8" s="15">
        <v>161.49382</v>
      </c>
      <c r="C8" s="15">
        <v>145.700073</v>
      </c>
      <c r="D8" s="15">
        <v>126.633743</v>
      </c>
      <c r="E8" s="15">
        <v>54.507103000000001</v>
      </c>
      <c r="F8" s="15">
        <v>138.692871</v>
      </c>
      <c r="G8" s="15">
        <v>67.436042999999998</v>
      </c>
      <c r="H8" s="15">
        <v>4373.9399409999996</v>
      </c>
    </row>
    <row r="9" spans="1:8" x14ac:dyDescent="0.25">
      <c r="A9" s="14">
        <v>44621</v>
      </c>
      <c r="B9" s="15">
        <v>170.775406</v>
      </c>
      <c r="C9" s="15">
        <v>156.90841699999999</v>
      </c>
      <c r="D9" s="15">
        <v>121.739861</v>
      </c>
      <c r="E9" s="15">
        <v>54.712550999999998</v>
      </c>
      <c r="F9" s="15">
        <v>135.94375600000001</v>
      </c>
      <c r="G9" s="15">
        <v>71.021987999999993</v>
      </c>
      <c r="H9" s="15">
        <v>4530.4101559999999</v>
      </c>
    </row>
    <row r="10" spans="1:8" x14ac:dyDescent="0.25">
      <c r="A10" s="14">
        <v>44652</v>
      </c>
      <c r="B10" s="15">
        <v>154.18786600000001</v>
      </c>
      <c r="C10" s="15">
        <v>159.76808199999999</v>
      </c>
      <c r="D10" s="15">
        <v>107.383942</v>
      </c>
      <c r="E10" s="15">
        <v>57.015774</v>
      </c>
      <c r="F10" s="15">
        <v>143.64018200000001</v>
      </c>
      <c r="G10" s="15">
        <v>73.30941</v>
      </c>
      <c r="H10" s="15">
        <v>4131.9301759999998</v>
      </c>
    </row>
    <row r="11" spans="1:8" x14ac:dyDescent="0.25">
      <c r="A11" s="14">
        <v>44682</v>
      </c>
      <c r="B11" s="15">
        <v>145.785202</v>
      </c>
      <c r="C11" s="15">
        <v>159.96608000000001</v>
      </c>
      <c r="D11" s="15">
        <v>118.96262400000001</v>
      </c>
      <c r="E11" s="15">
        <v>55.930343999999998</v>
      </c>
      <c r="F11" s="15">
        <v>132.30462600000001</v>
      </c>
      <c r="G11" s="15">
        <v>83.399330000000006</v>
      </c>
      <c r="H11" s="15">
        <v>4132.1499020000001</v>
      </c>
    </row>
    <row r="12" spans="1:8" x14ac:dyDescent="0.25">
      <c r="A12" s="14">
        <v>44713</v>
      </c>
      <c r="B12" s="15">
        <v>133.91395600000001</v>
      </c>
      <c r="C12" s="15">
        <v>158.16618299999999</v>
      </c>
      <c r="D12" s="15">
        <v>101.311211</v>
      </c>
      <c r="E12" s="15">
        <v>55.916682999999999</v>
      </c>
      <c r="F12" s="15">
        <v>128.64537000000001</v>
      </c>
      <c r="G12" s="15">
        <v>74.399154999999993</v>
      </c>
      <c r="H12" s="15">
        <v>3785.3798830000001</v>
      </c>
    </row>
    <row r="13" spans="1:8" x14ac:dyDescent="0.25">
      <c r="A13" s="14">
        <v>44743</v>
      </c>
      <c r="B13" s="15">
        <v>159.17468299999999</v>
      </c>
      <c r="C13" s="15">
        <v>155.50202899999999</v>
      </c>
      <c r="D13" s="15">
        <v>104.703354</v>
      </c>
      <c r="E13" s="15">
        <v>57.036620999999997</v>
      </c>
      <c r="F13" s="15">
        <v>125.086189</v>
      </c>
      <c r="G13" s="15">
        <v>84.207252999999994</v>
      </c>
      <c r="H13" s="15">
        <v>4130.2900390000004</v>
      </c>
    </row>
    <row r="14" spans="1:8" x14ac:dyDescent="0.25">
      <c r="A14" s="14">
        <v>44774</v>
      </c>
      <c r="B14" s="15">
        <v>154.20713799999999</v>
      </c>
      <c r="C14" s="15">
        <v>144.72421299999999</v>
      </c>
      <c r="D14" s="15">
        <v>103.22391500000001</v>
      </c>
      <c r="E14" s="15">
        <v>54.850085999999997</v>
      </c>
      <c r="F14" s="15">
        <v>124.212746</v>
      </c>
      <c r="G14" s="15">
        <v>83.850005999999993</v>
      </c>
      <c r="H14" s="15">
        <v>3955</v>
      </c>
    </row>
    <row r="15" spans="1:8" x14ac:dyDescent="0.25">
      <c r="A15" s="14">
        <v>44805</v>
      </c>
      <c r="B15" s="15">
        <v>135.551636</v>
      </c>
      <c r="C15" s="15">
        <v>146.53620900000001</v>
      </c>
      <c r="D15" s="15">
        <v>94.846558000000002</v>
      </c>
      <c r="E15" s="15">
        <v>50.155631999999997</v>
      </c>
      <c r="F15" s="15">
        <v>113.686081</v>
      </c>
      <c r="G15" s="15">
        <v>76.586928999999998</v>
      </c>
      <c r="H15" s="15">
        <v>3585.6201169999999</v>
      </c>
    </row>
    <row r="16" spans="1:8" x14ac:dyDescent="0.25">
      <c r="A16" s="14">
        <v>44835</v>
      </c>
      <c r="B16" s="15">
        <v>150.40150499999999</v>
      </c>
      <c r="C16" s="15">
        <v>156.05346700000001</v>
      </c>
      <c r="D16" s="15">
        <v>115.27372699999999</v>
      </c>
      <c r="E16" s="15">
        <v>53.584693999999999</v>
      </c>
      <c r="F16" s="15">
        <v>122.128761</v>
      </c>
      <c r="G16" s="15">
        <v>97.200744999999998</v>
      </c>
      <c r="H16" s="15">
        <v>3871.9799800000001</v>
      </c>
    </row>
    <row r="17" spans="1:8" x14ac:dyDescent="0.25">
      <c r="A17" s="14">
        <v>44866</v>
      </c>
      <c r="B17" s="15">
        <v>145.434113</v>
      </c>
      <c r="C17" s="15">
        <v>160.69903600000001</v>
      </c>
      <c r="D17" s="15">
        <v>126.537361</v>
      </c>
      <c r="E17" s="15">
        <v>57.354996</v>
      </c>
      <c r="F17" s="15">
        <v>135.269409</v>
      </c>
      <c r="G17" s="15">
        <v>98.451874000000004</v>
      </c>
      <c r="H17" s="15">
        <v>4080.110107</v>
      </c>
    </row>
    <row r="18" spans="1:8" x14ac:dyDescent="0.25">
      <c r="A18" s="14">
        <v>44896</v>
      </c>
      <c r="B18" s="15">
        <v>127.651512</v>
      </c>
      <c r="C18" s="15">
        <v>159.48022499999999</v>
      </c>
      <c r="D18" s="15">
        <v>122.801117</v>
      </c>
      <c r="E18" s="15">
        <v>57.354996</v>
      </c>
      <c r="F18" s="15">
        <v>137.445877</v>
      </c>
      <c r="G18" s="15">
        <v>97.53228</v>
      </c>
      <c r="H18" s="15">
        <v>3839.5</v>
      </c>
    </row>
    <row r="19" spans="1:8" x14ac:dyDescent="0.25">
      <c r="A19" s="14">
        <v>44927</v>
      </c>
      <c r="B19" s="15">
        <v>141.759705</v>
      </c>
      <c r="C19" s="15">
        <v>147.53616299999999</v>
      </c>
      <c r="D19" s="15">
        <v>129.11409</v>
      </c>
      <c r="E19" s="15">
        <v>55.290179999999999</v>
      </c>
      <c r="F19" s="15">
        <v>129.93102999999999</v>
      </c>
      <c r="G19" s="15">
        <v>102.581306</v>
      </c>
      <c r="H19" s="15">
        <v>4076.6000979999999</v>
      </c>
    </row>
    <row r="20" spans="1:8" x14ac:dyDescent="0.25">
      <c r="A20" s="14">
        <v>44958</v>
      </c>
      <c r="B20" s="15">
        <v>145.046097</v>
      </c>
      <c r="C20" s="15">
        <v>139.35884100000001</v>
      </c>
      <c r="D20" s="15">
        <v>132.241409</v>
      </c>
      <c r="E20" s="15">
        <v>53.658161</v>
      </c>
      <c r="F20" s="15">
        <v>125.53246300000001</v>
      </c>
      <c r="G20" s="15">
        <v>97.935248999999999</v>
      </c>
      <c r="H20" s="15">
        <v>3970.1499020000001</v>
      </c>
    </row>
    <row r="21" spans="1:8" x14ac:dyDescent="0.25">
      <c r="A21" s="14">
        <v>44986</v>
      </c>
      <c r="B21" s="15">
        <v>162.25561500000001</v>
      </c>
      <c r="C21" s="15">
        <v>140.94103999999999</v>
      </c>
      <c r="D21" s="15">
        <v>120.21191399999999</v>
      </c>
      <c r="E21" s="15">
        <v>56.359371000000003</v>
      </c>
      <c r="F21" s="15">
        <v>135.689301</v>
      </c>
      <c r="G21" s="15">
        <v>97.712485999999998</v>
      </c>
      <c r="H21" s="15">
        <v>4109.3100590000004</v>
      </c>
    </row>
    <row r="22" spans="1:8" x14ac:dyDescent="0.25">
      <c r="A22" s="14">
        <v>45017</v>
      </c>
      <c r="B22" s="15">
        <v>166.959</v>
      </c>
      <c r="C22" s="15">
        <v>148.851913</v>
      </c>
      <c r="D22" s="15">
        <v>128.52821399999999</v>
      </c>
      <c r="E22" s="15">
        <v>58.285572000000002</v>
      </c>
      <c r="F22" s="15">
        <v>143.600403</v>
      </c>
      <c r="G22" s="15">
        <v>105.4468</v>
      </c>
      <c r="H22" s="15">
        <v>4169.4799800000001</v>
      </c>
    </row>
    <row r="23" spans="1:8" x14ac:dyDescent="0.25">
      <c r="A23" s="14">
        <v>45047</v>
      </c>
      <c r="B23" s="15">
        <v>174.64883399999999</v>
      </c>
      <c r="C23" s="15">
        <v>142.05941799999999</v>
      </c>
      <c r="D23" s="15">
        <v>126.175972</v>
      </c>
      <c r="E23" s="15">
        <v>54.206023999999999</v>
      </c>
      <c r="F23" s="15">
        <v>130.854691</v>
      </c>
      <c r="G23" s="15">
        <v>91.837502000000001</v>
      </c>
      <c r="H23" s="15">
        <v>4179.830078</v>
      </c>
    </row>
    <row r="24" spans="1:8" x14ac:dyDescent="0.25">
      <c r="A24" s="14">
        <v>45078</v>
      </c>
      <c r="B24" s="15">
        <v>191.12344400000001</v>
      </c>
      <c r="C24" s="15">
        <v>151.64239499999999</v>
      </c>
      <c r="D24" s="15">
        <v>135.22241199999999</v>
      </c>
      <c r="E24" s="15">
        <v>55.131546</v>
      </c>
      <c r="F24" s="15">
        <v>139.339584</v>
      </c>
      <c r="G24" s="15">
        <v>96.394310000000004</v>
      </c>
      <c r="H24" s="15">
        <v>4450.3798829999996</v>
      </c>
    </row>
    <row r="25" spans="1:8" x14ac:dyDescent="0.25">
      <c r="A25" s="14">
        <v>45108</v>
      </c>
      <c r="B25" s="15">
        <v>193.56703200000001</v>
      </c>
      <c r="C25" s="15">
        <v>153.48388700000001</v>
      </c>
      <c r="D25" s="15">
        <v>147.87146000000001</v>
      </c>
      <c r="E25" s="15">
        <v>56.697051999999999</v>
      </c>
      <c r="F25" s="15">
        <v>144.43125900000001</v>
      </c>
      <c r="G25" s="15">
        <v>96.385345000000001</v>
      </c>
      <c r="H25" s="15">
        <v>4588.9599609999996</v>
      </c>
    </row>
    <row r="26" spans="1:8" x14ac:dyDescent="0.25">
      <c r="A26" s="14">
        <v>45139</v>
      </c>
      <c r="B26" s="15">
        <v>185.36296100000001</v>
      </c>
      <c r="C26" s="15">
        <v>149.199814</v>
      </c>
      <c r="D26" s="15">
        <v>136.984238</v>
      </c>
      <c r="E26" s="15">
        <v>54.774498000000001</v>
      </c>
      <c r="F26" s="15">
        <v>142.620102</v>
      </c>
      <c r="G26" s="15">
        <v>100.754738</v>
      </c>
      <c r="H26" s="15">
        <v>4507.6601559999999</v>
      </c>
    </row>
    <row r="27" spans="1:8" x14ac:dyDescent="0.25">
      <c r="A27" s="14">
        <v>45170</v>
      </c>
      <c r="B27" s="15">
        <v>168.925262</v>
      </c>
      <c r="C27" s="15">
        <v>143.727554</v>
      </c>
      <c r="D27" s="15">
        <v>135.757904</v>
      </c>
      <c r="E27" s="15">
        <v>51.656424999999999</v>
      </c>
      <c r="F27" s="15">
        <v>134.78402700000001</v>
      </c>
      <c r="G27" s="15">
        <v>106.545029</v>
      </c>
      <c r="H27" s="15">
        <v>4288.0498049999997</v>
      </c>
    </row>
    <row r="28" spans="1:8" x14ac:dyDescent="0.25">
      <c r="A28" s="14">
        <v>45200</v>
      </c>
      <c r="B28" s="15">
        <v>168.49115</v>
      </c>
      <c r="C28" s="15">
        <v>136.88954200000001</v>
      </c>
      <c r="D28" s="15">
        <v>131.13909899999999</v>
      </c>
      <c r="E28" s="15">
        <v>52.127026000000001</v>
      </c>
      <c r="F28" s="15">
        <v>139.51239000000001</v>
      </c>
      <c r="G28" s="15">
        <v>95.915893999999994</v>
      </c>
      <c r="H28" s="15">
        <v>4193.7998049999997</v>
      </c>
    </row>
    <row r="29" spans="1:8" x14ac:dyDescent="0.25">
      <c r="A29" s="14">
        <v>45231</v>
      </c>
      <c r="B29" s="15">
        <v>187.662125</v>
      </c>
      <c r="C29" s="15">
        <v>143.86462399999999</v>
      </c>
      <c r="D29" s="15">
        <v>147.18962099999999</v>
      </c>
      <c r="E29" s="15">
        <v>54.355815999999997</v>
      </c>
      <c r="F29" s="15">
        <v>142.75773599999999</v>
      </c>
      <c r="G29" s="15">
        <v>93.949089000000001</v>
      </c>
      <c r="H29" s="15">
        <v>4567.7998049999997</v>
      </c>
    </row>
    <row r="30" spans="1:8" x14ac:dyDescent="0.25">
      <c r="A30" s="14">
        <v>45261</v>
      </c>
      <c r="B30" s="15">
        <v>190.21101400000001</v>
      </c>
      <c r="C30" s="15">
        <v>145.799454</v>
      </c>
      <c r="D30" s="15">
        <v>160.411057</v>
      </c>
      <c r="E30" s="15">
        <v>54.811573000000003</v>
      </c>
      <c r="F30" s="15">
        <v>136.26707500000001</v>
      </c>
      <c r="G30" s="15">
        <v>91.425246999999999</v>
      </c>
      <c r="H30" s="15">
        <v>4769.830078</v>
      </c>
    </row>
    <row r="31" spans="1:8" x14ac:dyDescent="0.25">
      <c r="A31" s="14">
        <v>45292</v>
      </c>
      <c r="B31" s="15">
        <v>182.178909</v>
      </c>
      <c r="C31" s="15">
        <v>147.80865499999999</v>
      </c>
      <c r="D31" s="15">
        <v>165.44233700000001</v>
      </c>
      <c r="E31" s="15">
        <v>55.332439000000001</v>
      </c>
      <c r="F31" s="15">
        <v>147.04679899999999</v>
      </c>
      <c r="G31" s="15">
        <v>94.013092</v>
      </c>
      <c r="H31" s="15">
        <v>4845.6499020000001</v>
      </c>
    </row>
    <row r="32" spans="1:8" x14ac:dyDescent="0.25">
      <c r="A32" s="14">
        <v>45323</v>
      </c>
      <c r="B32" s="15">
        <v>178.800781</v>
      </c>
      <c r="C32" s="15">
        <v>151.25535600000001</v>
      </c>
      <c r="D32" s="15">
        <v>176.543961</v>
      </c>
      <c r="E32" s="15">
        <v>55.825397000000002</v>
      </c>
      <c r="F32" s="15">
        <v>148.73121599999999</v>
      </c>
      <c r="G32" s="15">
        <v>96.465034000000003</v>
      </c>
      <c r="H32" s="15">
        <v>5096.2700199999999</v>
      </c>
    </row>
    <row r="33" spans="1:8" x14ac:dyDescent="0.25">
      <c r="A33" s="14">
        <v>45352</v>
      </c>
      <c r="B33" s="15">
        <v>169.630753</v>
      </c>
      <c r="C33" s="15">
        <v>148.26547199999999</v>
      </c>
      <c r="D33" s="15">
        <v>190.05566400000001</v>
      </c>
      <c r="E33" s="15">
        <v>57.359493000000001</v>
      </c>
      <c r="F33" s="15">
        <v>151.82858300000001</v>
      </c>
      <c r="G33" s="15">
        <v>107.28182200000001</v>
      </c>
      <c r="H33" s="15">
        <v>5254.3500979999999</v>
      </c>
    </row>
    <row r="34" spans="1:8" x14ac:dyDescent="0.25">
      <c r="A34" s="14">
        <v>45383</v>
      </c>
      <c r="B34" s="15">
        <v>168.49314899999999</v>
      </c>
      <c r="C34" s="15">
        <v>135.51872299999999</v>
      </c>
      <c r="D34" s="15">
        <v>182.994675</v>
      </c>
      <c r="E34" s="15">
        <v>57.912643000000003</v>
      </c>
      <c r="F34" s="15">
        <v>153.70367400000001</v>
      </c>
      <c r="G34" s="15">
        <v>109.155373</v>
      </c>
      <c r="H34" s="15">
        <v>5035.6899409999996</v>
      </c>
    </row>
    <row r="35" spans="1:8" x14ac:dyDescent="0.25">
      <c r="A35" s="14">
        <v>45413</v>
      </c>
      <c r="B35" s="15">
        <v>190.43469200000001</v>
      </c>
      <c r="C35" s="15">
        <v>138.57942199999999</v>
      </c>
      <c r="D35" s="15">
        <v>193.38800000000001</v>
      </c>
      <c r="E35" s="15">
        <v>59.000197999999997</v>
      </c>
      <c r="F35" s="15">
        <v>154.965698</v>
      </c>
      <c r="G35" s="15">
        <v>109.10225699999999</v>
      </c>
      <c r="H35" s="15">
        <v>5277.5097660000001</v>
      </c>
    </row>
    <row r="36" spans="1:8" x14ac:dyDescent="0.25">
      <c r="A36" s="14">
        <v>45444</v>
      </c>
      <c r="B36" s="15">
        <v>208.63124099999999</v>
      </c>
      <c r="C36" s="15">
        <v>138.09757999999999</v>
      </c>
      <c r="D36" s="15">
        <v>193.034851</v>
      </c>
      <c r="E36" s="15">
        <v>60.138283000000001</v>
      </c>
      <c r="F36" s="15">
        <v>155.32360800000001</v>
      </c>
      <c r="G36" s="15">
        <v>107.111153</v>
      </c>
      <c r="H36" s="15">
        <v>5460.4799800000001</v>
      </c>
    </row>
    <row r="37" spans="1:8" x14ac:dyDescent="0.25">
      <c r="A37" s="14">
        <v>45474</v>
      </c>
      <c r="B37" s="15">
        <v>219.98303200000001</v>
      </c>
      <c r="C37" s="15">
        <v>149.14274599999999</v>
      </c>
      <c r="D37" s="15">
        <v>204.21949799999999</v>
      </c>
      <c r="E37" s="15">
        <v>63.057796000000003</v>
      </c>
      <c r="F37" s="15">
        <v>152.31626900000001</v>
      </c>
      <c r="G37" s="15">
        <v>110.33972900000001</v>
      </c>
      <c r="H37" s="15">
        <v>5522.2998049999997</v>
      </c>
    </row>
    <row r="38" spans="1:8" x14ac:dyDescent="0.25">
      <c r="A38" s="14">
        <v>45505</v>
      </c>
      <c r="B38" s="15">
        <v>227.100266</v>
      </c>
      <c r="C38" s="15">
        <v>157.90033</v>
      </c>
      <c r="D38" s="15">
        <v>215.735626</v>
      </c>
      <c r="E38" s="15">
        <v>68.471671999999998</v>
      </c>
      <c r="F38" s="15">
        <v>162.53005999999999</v>
      </c>
      <c r="G38" s="15">
        <v>110.61842300000001</v>
      </c>
      <c r="H38" s="15">
        <v>5648.3999020000001</v>
      </c>
    </row>
    <row r="39" spans="1:8" x14ac:dyDescent="0.25">
      <c r="A39" s="14">
        <v>45536</v>
      </c>
      <c r="B39" s="15">
        <v>231.067093</v>
      </c>
      <c r="C39" s="15">
        <v>154.282715</v>
      </c>
      <c r="D39" s="15">
        <v>202.35772700000001</v>
      </c>
      <c r="E39" s="15">
        <v>68.360786000000004</v>
      </c>
      <c r="F39" s="15">
        <v>164.10287500000001</v>
      </c>
      <c r="G39" s="15">
        <v>109.943108</v>
      </c>
      <c r="H39" s="15">
        <v>5762.4799800000001</v>
      </c>
    </row>
    <row r="40" spans="1:8" x14ac:dyDescent="0.25">
      <c r="A40" s="14">
        <v>45566</v>
      </c>
      <c r="B40" s="15">
        <v>224.035889</v>
      </c>
      <c r="C40" s="15">
        <v>152.188278</v>
      </c>
      <c r="D40" s="15">
        <v>214.276825</v>
      </c>
      <c r="E40" s="15">
        <v>62.129730000000002</v>
      </c>
      <c r="F40" s="15">
        <v>157.424271</v>
      </c>
      <c r="G40" s="15">
        <v>109.530411</v>
      </c>
      <c r="H40" s="15">
        <v>5705.4501950000003</v>
      </c>
    </row>
    <row r="41" spans="1:8" x14ac:dyDescent="0.25">
      <c r="A41" s="14">
        <v>45597</v>
      </c>
      <c r="B41" s="15">
        <v>235.62011699999999</v>
      </c>
      <c r="C41" s="15">
        <v>148.755112</v>
      </c>
      <c r="D41" s="15">
        <v>241.11940000000001</v>
      </c>
      <c r="E41" s="15">
        <v>61.421993000000001</v>
      </c>
      <c r="F41" s="15">
        <v>170.84318500000001</v>
      </c>
      <c r="G41" s="15">
        <v>111.546295</v>
      </c>
      <c r="H41" s="15">
        <v>6032.3798829999996</v>
      </c>
    </row>
    <row r="42" spans="1:8" x14ac:dyDescent="0.25">
      <c r="A42" s="14">
        <v>45627</v>
      </c>
      <c r="B42" s="15">
        <v>248.61578399999999</v>
      </c>
      <c r="C42" s="15">
        <v>138.78434799999999</v>
      </c>
      <c r="D42" s="15">
        <v>231.45414700000001</v>
      </c>
      <c r="E42" s="15">
        <v>59.677475000000001</v>
      </c>
      <c r="F42" s="15">
        <v>159.77830499999999</v>
      </c>
      <c r="G42" s="15">
        <v>101.72120700000001</v>
      </c>
      <c r="H42" s="15">
        <v>5881.6298829999996</v>
      </c>
    </row>
    <row r="43" spans="1:8" x14ac:dyDescent="0.25">
      <c r="A43" s="14">
        <v>45658</v>
      </c>
      <c r="B43" s="15">
        <v>234.29968299999999</v>
      </c>
      <c r="C43" s="15">
        <v>146.01049800000001</v>
      </c>
      <c r="D43" s="15">
        <v>259.42691000000002</v>
      </c>
      <c r="E43" s="15">
        <v>60.846877999999997</v>
      </c>
      <c r="F43" s="15">
        <v>159.16090399999999</v>
      </c>
      <c r="G43" s="15">
        <v>101.021439</v>
      </c>
      <c r="H43" s="15">
        <v>6040.5297849999997</v>
      </c>
    </row>
    <row r="44" spans="1:8" x14ac:dyDescent="0.25">
      <c r="A44" s="14">
        <v>45689</v>
      </c>
      <c r="B44" s="15">
        <v>240.361572</v>
      </c>
      <c r="C44" s="15">
        <v>159.62882999999999</v>
      </c>
      <c r="D44" s="15">
        <v>256.854919</v>
      </c>
      <c r="E44" s="15">
        <v>68.256232999999995</v>
      </c>
      <c r="F44" s="15">
        <v>166.687927</v>
      </c>
      <c r="G44" s="15">
        <v>106.21843699999999</v>
      </c>
      <c r="H44" s="15">
        <v>5954.5</v>
      </c>
    </row>
    <row r="45" spans="1:8" x14ac:dyDescent="0.25">
      <c r="A45" s="14">
        <v>45717</v>
      </c>
      <c r="B45" s="15">
        <v>220.772064</v>
      </c>
      <c r="C45" s="15">
        <v>160.42202800000001</v>
      </c>
      <c r="D45" s="15">
        <v>238.07489000000001</v>
      </c>
      <c r="E45" s="15">
        <v>69.155829999999995</v>
      </c>
      <c r="F45" s="15">
        <v>163.408615</v>
      </c>
      <c r="G45" s="15">
        <v>113.469498</v>
      </c>
      <c r="H45" s="15">
        <v>5611.8500979999999</v>
      </c>
    </row>
    <row r="46" spans="1:8" x14ac:dyDescent="0.25">
      <c r="A46" s="14">
        <v>45748</v>
      </c>
      <c r="B46" s="15">
        <v>211.20095800000001</v>
      </c>
      <c r="C46" s="15">
        <v>151.20336900000001</v>
      </c>
      <c r="D46" s="15">
        <v>238.87725800000001</v>
      </c>
      <c r="E46" s="15">
        <v>70.053841000000006</v>
      </c>
      <c r="F46" s="15">
        <v>156.85325599999999</v>
      </c>
      <c r="G46" s="15">
        <v>100.780151</v>
      </c>
      <c r="H46" s="15">
        <v>5569.0600590000004</v>
      </c>
    </row>
    <row r="47" spans="1:8" x14ac:dyDescent="0.25">
      <c r="A47" s="14">
        <v>45778</v>
      </c>
      <c r="B47" s="15">
        <v>199.88395700000001</v>
      </c>
      <c r="C47" s="15">
        <v>151.42643699999999</v>
      </c>
      <c r="D47" s="15">
        <v>257.80230699999998</v>
      </c>
      <c r="E47" s="15">
        <v>69.619308000000004</v>
      </c>
      <c r="F47" s="15">
        <v>163.91584800000001</v>
      </c>
      <c r="G47" s="15">
        <v>98.501983999999993</v>
      </c>
      <c r="H47" s="15">
        <v>5911.6899409999996</v>
      </c>
    </row>
    <row r="48" spans="1:8" x14ac:dyDescent="0.25">
      <c r="A48" s="14">
        <v>45809</v>
      </c>
      <c r="B48" s="15">
        <v>204.18315100000001</v>
      </c>
      <c r="C48" s="15">
        <v>149.02642800000001</v>
      </c>
      <c r="D48" s="15">
        <v>283.10403400000001</v>
      </c>
      <c r="E48" s="15">
        <v>68.801490999999999</v>
      </c>
      <c r="F48" s="15">
        <v>153.717545</v>
      </c>
      <c r="G48" s="15">
        <v>103.797798</v>
      </c>
      <c r="H48" s="15">
        <v>6204.9501950000003</v>
      </c>
    </row>
    <row r="49" spans="1:8" x14ac:dyDescent="0.25">
      <c r="A49" s="14">
        <v>45839</v>
      </c>
      <c r="B49" s="15">
        <v>206.57162500000001</v>
      </c>
      <c r="C49" s="15">
        <v>160.72413599999999</v>
      </c>
      <c r="D49" s="15">
        <v>290.67910799999999</v>
      </c>
      <c r="E49" s="15">
        <v>66.020256000000003</v>
      </c>
      <c r="F49" s="15">
        <v>146.17157</v>
      </c>
      <c r="G49" s="15">
        <v>107.495216</v>
      </c>
      <c r="H49" s="15">
        <v>6339.3901370000003</v>
      </c>
    </row>
    <row r="50" spans="1:8" x14ac:dyDescent="0.25">
      <c r="A50" s="14">
        <v>45870</v>
      </c>
      <c r="B50" s="15">
        <v>231.285629</v>
      </c>
      <c r="C50" s="15">
        <v>174.11985799999999</v>
      </c>
      <c r="D50" s="15">
        <v>295.76187099999999</v>
      </c>
      <c r="E50" s="15">
        <v>67.089950999999999</v>
      </c>
      <c r="F50" s="15">
        <v>152.55387899999999</v>
      </c>
      <c r="G50" s="15">
        <v>111.070869</v>
      </c>
      <c r="H50" s="15">
        <v>6460.2597660000001</v>
      </c>
    </row>
    <row r="51" spans="1:8" x14ac:dyDescent="0.25">
      <c r="A51" s="14">
        <v>45901</v>
      </c>
      <c r="B51" s="15">
        <v>253.69288599999999</v>
      </c>
      <c r="C51" s="15">
        <v>182.227844</v>
      </c>
      <c r="D51" s="15">
        <v>309.50885</v>
      </c>
      <c r="E51" s="15">
        <v>64.988097999999994</v>
      </c>
      <c r="F51" s="15">
        <v>149.26071200000001</v>
      </c>
      <c r="G51" s="15">
        <v>109.574242</v>
      </c>
      <c r="H51" s="15">
        <v>6688.4599609999996</v>
      </c>
    </row>
    <row r="52" spans="1:8" x14ac:dyDescent="0.25">
      <c r="A52" s="14">
        <v>45931</v>
      </c>
      <c r="B52" s="15">
        <v>269.37493899999998</v>
      </c>
      <c r="C52" s="15">
        <v>185.618439</v>
      </c>
      <c r="D52" s="15">
        <v>306.76394699999997</v>
      </c>
      <c r="E52" s="15">
        <v>67.516295999999997</v>
      </c>
      <c r="F52" s="15">
        <v>147.09591699999999</v>
      </c>
      <c r="G52" s="15">
        <v>111.138893</v>
      </c>
      <c r="H52" s="15">
        <v>6840.2001950000003</v>
      </c>
    </row>
    <row r="53" spans="1:8" x14ac:dyDescent="0.25">
      <c r="A53" s="14">
        <v>45962</v>
      </c>
      <c r="B53" s="15">
        <v>278.09304800000001</v>
      </c>
      <c r="C53" s="15">
        <v>204.648865</v>
      </c>
      <c r="D53" s="15">
        <v>308.69650300000001</v>
      </c>
      <c r="E53" s="15">
        <v>71.65155</v>
      </c>
      <c r="F53" s="15">
        <v>144.93403599999999</v>
      </c>
      <c r="G53" s="15">
        <v>113.640297</v>
      </c>
      <c r="H53" s="15">
        <v>6849.0898440000001</v>
      </c>
    </row>
    <row r="54" spans="1:8" x14ac:dyDescent="0.25">
      <c r="A54" s="14">
        <v>45992</v>
      </c>
      <c r="B54" s="15">
        <v>271.12200899999999</v>
      </c>
      <c r="C54" s="15">
        <v>204.678528</v>
      </c>
      <c r="D54" s="15">
        <v>317.70855699999998</v>
      </c>
      <c r="E54" s="15">
        <v>68.987183000000002</v>
      </c>
      <c r="F54" s="15">
        <v>140.18963600000001</v>
      </c>
      <c r="G54" s="15">
        <v>117.973381</v>
      </c>
      <c r="H54" s="15">
        <v>6845.5</v>
      </c>
    </row>
    <row r="55" spans="1:8" x14ac:dyDescent="0.25">
      <c r="A55" s="14">
        <v>46023</v>
      </c>
      <c r="B55" s="15">
        <v>258.775665</v>
      </c>
      <c r="C55" s="15">
        <v>224.75572199999999</v>
      </c>
      <c r="D55" s="15">
        <v>302.96768200000002</v>
      </c>
      <c r="E55" s="15">
        <v>73.822495000000004</v>
      </c>
      <c r="F55" s="15">
        <v>149.51954699999999</v>
      </c>
      <c r="G55" s="15">
        <v>138.619202</v>
      </c>
      <c r="H55" s="15">
        <v>6939.0297849999997</v>
      </c>
    </row>
    <row r="56" spans="1:8" x14ac:dyDescent="0.25">
      <c r="A56" s="14">
        <v>46054</v>
      </c>
      <c r="B56" s="15">
        <v>263.70938100000001</v>
      </c>
      <c r="C56" s="15">
        <v>247.00943000000001</v>
      </c>
      <c r="D56" s="15">
        <v>297.431061</v>
      </c>
      <c r="E56" s="15">
        <v>80.483397999999994</v>
      </c>
      <c r="F56" s="15">
        <v>164.72073399999999</v>
      </c>
      <c r="G56" s="15">
        <v>150.49740600000001</v>
      </c>
      <c r="H56" s="15">
        <v>6878.8798829999996</v>
      </c>
    </row>
    <row r="57" spans="1:8" x14ac:dyDescent="0.25">
      <c r="A57" s="14">
        <v>46082</v>
      </c>
      <c r="B57" s="15">
        <v>253.33789100000001</v>
      </c>
      <c r="C57" s="15">
        <v>243.04225199999999</v>
      </c>
      <c r="D57" s="15">
        <v>291.34973100000002</v>
      </c>
      <c r="E57" s="15">
        <v>75.562149000000005</v>
      </c>
      <c r="F57" s="15">
        <v>142.29823300000001</v>
      </c>
      <c r="G57" s="15">
        <v>167.432053</v>
      </c>
      <c r="H57" s="15">
        <v>6528.5200199999999</v>
      </c>
    </row>
    <row r="58" spans="1:8" x14ac:dyDescent="0.25">
      <c r="A58" s="14">
        <v>46113</v>
      </c>
      <c r="B58" s="15">
        <v>270.86663800000002</v>
      </c>
      <c r="C58" s="15">
        <v>228.53568999999999</v>
      </c>
      <c r="D58" s="15">
        <v>311.82525600000002</v>
      </c>
      <c r="E58" s="15">
        <v>78.254767999999999</v>
      </c>
      <c r="F58" s="15">
        <v>146.00010700000001</v>
      </c>
      <c r="G58" s="15">
        <v>152.30336</v>
      </c>
      <c r="H58" s="15">
        <v>7209.0097660000001</v>
      </c>
    </row>
    <row r="59" spans="1:8" x14ac:dyDescent="0.25">
      <c r="A59" s="14">
        <v>46143</v>
      </c>
      <c r="B59" s="15">
        <v>311.79110700000001</v>
      </c>
      <c r="C59" s="15">
        <v>225.33000200000001</v>
      </c>
      <c r="D59" s="15">
        <v>297.96768200000002</v>
      </c>
      <c r="E59" s="15">
        <v>78.503158999999997</v>
      </c>
      <c r="F59" s="15">
        <v>142.496262</v>
      </c>
      <c r="G59" s="15">
        <v>144.32547</v>
      </c>
      <c r="H59" s="15">
        <v>7580.0600590000004</v>
      </c>
    </row>
    <row r="60" spans="1:8" x14ac:dyDescent="0.25">
      <c r="A60" s="14">
        <v>46174</v>
      </c>
      <c r="B60" s="15">
        <v>289.110657</v>
      </c>
      <c r="C60" s="15">
        <v>253.970001</v>
      </c>
      <c r="D60" s="15">
        <v>325.86200000000002</v>
      </c>
      <c r="E60" s="15">
        <v>81.269997000000004</v>
      </c>
      <c r="F60" s="15">
        <v>145.553436</v>
      </c>
      <c r="G60" s="15">
        <v>135.840408</v>
      </c>
      <c r="H60" s="15">
        <v>7499.3598629999997</v>
      </c>
    </row>
    <row r="61" spans="1:8" x14ac:dyDescent="0.25">
      <c r="A61" s="14">
        <v>46204</v>
      </c>
      <c r="B61" s="15">
        <v>308.64382899999998</v>
      </c>
      <c r="C61" s="15">
        <v>256.35000600000001</v>
      </c>
      <c r="D61" s="15">
        <v>351.790009</v>
      </c>
      <c r="E61" s="15">
        <v>87.589995999999999</v>
      </c>
      <c r="F61" s="15">
        <v>144.490005</v>
      </c>
      <c r="G61" s="15">
        <v>154.439987</v>
      </c>
      <c r="H61" s="15">
        <v>7489.7202150000003</v>
      </c>
    </row>
    <row r="63" spans="1:8" x14ac:dyDescent="0.25">
      <c r="A63"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2"/>
  <sheetViews>
    <sheetView workbookViewId="0">
      <pane ySplit="1" topLeftCell="A41" activePane="bottomLeft" state="frozen"/>
      <selection pane="bottomLeft" activeCell="D6" sqref="D6"/>
    </sheetView>
  </sheetViews>
  <sheetFormatPr defaultRowHeight="15" x14ac:dyDescent="0.25"/>
  <cols>
    <col min="1" max="8" width="15" customWidth="1"/>
  </cols>
  <sheetData>
    <row r="1" spans="1:8" ht="45" x14ac:dyDescent="0.25">
      <c r="A1" s="4" t="s">
        <v>10</v>
      </c>
      <c r="B1" s="12" t="s">
        <v>40</v>
      </c>
      <c r="C1" s="12" t="s">
        <v>41</v>
      </c>
      <c r="D1" s="12" t="s">
        <v>42</v>
      </c>
      <c r="E1" s="12" t="s">
        <v>43</v>
      </c>
      <c r="F1" s="12" t="s">
        <v>44</v>
      </c>
      <c r="G1" s="12" t="s">
        <v>45</v>
      </c>
      <c r="H1" s="12" t="s">
        <v>46</v>
      </c>
    </row>
    <row r="2" spans="1:8" x14ac:dyDescent="0.25">
      <c r="A2" s="13">
        <f>'Raw Data'!A3</f>
        <v>44440</v>
      </c>
      <c r="B2" s="8">
        <f>IFERROR('Raw Data'!B3/'Raw Data'!B2-1,"")</f>
        <v>-6.8036570939202901E-2</v>
      </c>
      <c r="C2" s="8">
        <f>IFERROR('Raw Data'!C3/'Raw Data'!C2-1,"")</f>
        <v>-6.7174770403478967E-2</v>
      </c>
      <c r="D2" s="8">
        <f>IFERROR('Raw Data'!D3/'Raw Data'!D2-1,"")</f>
        <v>2.3382315119147012E-2</v>
      </c>
      <c r="E2" s="8">
        <f>IFERROR('Raw Data'!E3/'Raw Data'!E2-1,"")</f>
        <v>-6.1161422527422848E-2</v>
      </c>
      <c r="F2" s="8">
        <f>IFERROR('Raw Data'!F3/'Raw Data'!F2-1,"")</f>
        <v>-1.8189416836872918E-2</v>
      </c>
      <c r="G2" s="8">
        <f>IFERROR('Raw Data'!G3/'Raw Data'!G2-1,"")</f>
        <v>7.8870143623606559E-2</v>
      </c>
      <c r="H2" s="8">
        <f>IFERROR('Raw Data'!H3/'Raw Data'!H2-1,"")</f>
        <v>-4.7569168861786748E-2</v>
      </c>
    </row>
    <row r="3" spans="1:8" x14ac:dyDescent="0.25">
      <c r="A3" s="13">
        <f>'Raw Data'!A4</f>
        <v>44470</v>
      </c>
      <c r="B3" s="8">
        <f>IFERROR('Raw Data'!B4/'Raw Data'!B3-1,"")</f>
        <v>5.8657132341723761E-2</v>
      </c>
      <c r="C3" s="8">
        <f>IFERROR('Raw Data'!C4/'Raw Data'!C3-1,"")</f>
        <v>8.5448652789590351E-3</v>
      </c>
      <c r="D3" s="8">
        <f>IFERROR('Raw Data'!D4/'Raw Data'!D3-1,"")</f>
        <v>4.4130569179197776E-2</v>
      </c>
      <c r="E3" s="8">
        <f>IFERROR('Raw Data'!E4/'Raw Data'!E3-1,"")</f>
        <v>7.4328076764270445E-2</v>
      </c>
      <c r="F3" s="8">
        <f>IFERROR('Raw Data'!F4/'Raw Data'!F3-1,"")</f>
        <v>2.9159163579846714E-2</v>
      </c>
      <c r="G3" s="8">
        <f>IFERROR('Raw Data'!G4/'Raw Data'!G3-1,"")</f>
        <v>9.6055712759480549E-2</v>
      </c>
      <c r="H3" s="8">
        <f>IFERROR('Raw Data'!H4/'Raw Data'!H3-1,"")</f>
        <v>6.9143836459647501E-2</v>
      </c>
    </row>
    <row r="4" spans="1:8" x14ac:dyDescent="0.25">
      <c r="A4" s="13">
        <f>'Raw Data'!A5</f>
        <v>44501</v>
      </c>
      <c r="B4" s="8">
        <f>IFERROR('Raw Data'!B5/'Raw Data'!B4-1,"")</f>
        <v>0.10508200022202363</v>
      </c>
      <c r="C4" s="8">
        <f>IFERROR('Raw Data'!C5/'Raw Data'!C4-1,"")</f>
        <v>-3.6398888628297987E-2</v>
      </c>
      <c r="D4" s="8">
        <f>IFERROR('Raw Data'!D5/'Raw Data'!D4-1,"")</f>
        <v>-6.5100938088080373E-2</v>
      </c>
      <c r="E4" s="8">
        <f>IFERROR('Raw Data'!E5/'Raw Data'!E4-1,"")</f>
        <v>-6.2324937820142812E-2</v>
      </c>
      <c r="F4" s="8">
        <f>IFERROR('Raw Data'!F5/'Raw Data'!F4-1,"")</f>
        <v>1.1119505597853685E-2</v>
      </c>
      <c r="G4" s="8">
        <f>IFERROR('Raw Data'!G5/'Raw Data'!G4-1,"")</f>
        <v>-5.9342142172402634E-2</v>
      </c>
      <c r="H4" s="8">
        <f>IFERROR('Raw Data'!H5/'Raw Data'!H4-1,"")</f>
        <v>-8.3337062251199745E-3</v>
      </c>
    </row>
    <row r="5" spans="1:8" x14ac:dyDescent="0.25">
      <c r="A5" s="13">
        <f>'Raw Data'!A6</f>
        <v>44531</v>
      </c>
      <c r="B5" s="8">
        <f>IFERROR('Raw Data'!B6/'Raw Data'!B5-1,"")</f>
        <v>7.4228603482387578E-2</v>
      </c>
      <c r="C5" s="8">
        <f>IFERROR('Raw Data'!C6/'Raw Data'!C5-1,"")</f>
        <v>9.7094892584987935E-2</v>
      </c>
      <c r="D5" s="8">
        <f>IFERROR('Raw Data'!D6/'Raw Data'!D5-1,"")</f>
        <v>-3.0222810111187881E-3</v>
      </c>
      <c r="E5" s="8">
        <f>IFERROR('Raw Data'!E6/'Raw Data'!E5-1,"")</f>
        <v>0.12888459630098259</v>
      </c>
      <c r="F5" s="8">
        <f>IFERROR('Raw Data'!F6/'Raw Data'!F5-1,"")</f>
        <v>0.13141503635390417</v>
      </c>
      <c r="G5" s="8">
        <f>IFERROR('Raw Data'!G6/'Raw Data'!G5-1,"")</f>
        <v>2.2560143708128422E-2</v>
      </c>
      <c r="H5" s="8">
        <f>IFERROR('Raw Data'!H6/'Raw Data'!H5-1,"")</f>
        <v>4.361291350996277E-2</v>
      </c>
    </row>
    <row r="6" spans="1:8" x14ac:dyDescent="0.25">
      <c r="A6" s="13">
        <f>'Raw Data'!A7</f>
        <v>44562</v>
      </c>
      <c r="B6" s="8">
        <f>IFERROR('Raw Data'!B7/'Raw Data'!B6-1,"")</f>
        <v>-1.5712072207881289E-2</v>
      </c>
      <c r="C6" s="8">
        <f>IFERROR('Raw Data'!C7/'Raw Data'!C6-1,"")</f>
        <v>7.1313043562679646E-3</v>
      </c>
      <c r="D6" s="8">
        <f>IFERROR('Raw Data'!D7/'Raw Data'!D6-1,"")</f>
        <v>-5.594714568965109E-2</v>
      </c>
      <c r="E6" s="8">
        <f>IFERROR('Raw Data'!E7/'Raw Data'!E6-1,"")</f>
        <v>3.040034632920241E-2</v>
      </c>
      <c r="F6" s="8">
        <f>IFERROR('Raw Data'!F7/'Raw Data'!F6-1,"")</f>
        <v>-1.3838250992768919E-2</v>
      </c>
      <c r="G6" s="8">
        <f>IFERROR('Raw Data'!G7/'Raw Data'!G6-1,"")</f>
        <v>0.24137922023271385</v>
      </c>
      <c r="H6" s="8">
        <f>IFERROR('Raw Data'!H7/'Raw Data'!H6-1,"")</f>
        <v>-5.258516500531063E-2</v>
      </c>
    </row>
    <row r="7" spans="1:8" x14ac:dyDescent="0.25">
      <c r="A7" s="13">
        <f>'Raw Data'!A8</f>
        <v>44593</v>
      </c>
      <c r="B7" s="8">
        <f>IFERROR('Raw Data'!B8/'Raw Data'!B7-1,"")</f>
        <v>-5.4065931913500176E-2</v>
      </c>
      <c r="C7" s="8">
        <f>IFERROR('Raw Data'!C8/'Raw Data'!C7-1,"")</f>
        <v>-3.8676251923966065E-2</v>
      </c>
      <c r="D7" s="8">
        <f>IFERROR('Raw Data'!D8/'Raw Data'!D7-1,"")</f>
        <v>-4.5760573220595235E-2</v>
      </c>
      <c r="E7" s="8">
        <f>IFERROR('Raw Data'!E8/'Raw Data'!E7-1,"")</f>
        <v>2.0160670276129888E-2</v>
      </c>
      <c r="F7" s="8">
        <f>IFERROR('Raw Data'!F8/'Raw Data'!F7-1,"")</f>
        <v>-2.8420177571188532E-2</v>
      </c>
      <c r="G7" s="8">
        <f>IFERROR('Raw Data'!G8/'Raw Data'!G7-1,"")</f>
        <v>4.383023909696826E-2</v>
      </c>
      <c r="H7" s="8">
        <f>IFERROR('Raw Data'!H8/'Raw Data'!H7-1,"")</f>
        <v>-3.1360492102910142E-2</v>
      </c>
    </row>
    <row r="8" spans="1:8" x14ac:dyDescent="0.25">
      <c r="A8" s="13">
        <f>'Raw Data'!A9</f>
        <v>44621</v>
      </c>
      <c r="B8" s="8">
        <f>IFERROR('Raw Data'!B9/'Raw Data'!B8-1,"")</f>
        <v>5.7473320031689257E-2</v>
      </c>
      <c r="C8" s="8">
        <f>IFERROR('Raw Data'!C9/'Raw Data'!C8-1,"")</f>
        <v>7.6927511216826838E-2</v>
      </c>
      <c r="D8" s="8">
        <f>IFERROR('Raw Data'!D9/'Raw Data'!D8-1,"")</f>
        <v>-3.8645955525455689E-2</v>
      </c>
      <c r="E8" s="8">
        <f>IFERROR('Raw Data'!E9/'Raw Data'!E8-1,"")</f>
        <v>3.7691968329338632E-3</v>
      </c>
      <c r="F8" s="8">
        <f>IFERROR('Raw Data'!F9/'Raw Data'!F8-1,"")</f>
        <v>-1.9821602798892113E-2</v>
      </c>
      <c r="G8" s="8">
        <f>IFERROR('Raw Data'!G9/'Raw Data'!G8-1,"")</f>
        <v>5.3175495483920976E-2</v>
      </c>
      <c r="H8" s="8">
        <f>IFERROR('Raw Data'!H9/'Raw Data'!H8-1,"")</f>
        <v>3.5773288410591908E-2</v>
      </c>
    </row>
    <row r="9" spans="1:8" x14ac:dyDescent="0.25">
      <c r="A9" s="13">
        <f>'Raw Data'!A10</f>
        <v>44652</v>
      </c>
      <c r="B9" s="8">
        <f>IFERROR('Raw Data'!B10/'Raw Data'!B9-1,"")</f>
        <v>-9.7130730873507543E-2</v>
      </c>
      <c r="C9" s="8">
        <f>IFERROR('Raw Data'!C10/'Raw Data'!C9-1,"")</f>
        <v>1.8225057996729355E-2</v>
      </c>
      <c r="D9" s="8">
        <f>IFERROR('Raw Data'!D10/'Raw Data'!D9-1,"")</f>
        <v>-0.11792291269332067</v>
      </c>
      <c r="E9" s="8">
        <f>IFERROR('Raw Data'!E10/'Raw Data'!E9-1,"")</f>
        <v>4.2096794207237886E-2</v>
      </c>
      <c r="F9" s="8">
        <f>IFERROR('Raw Data'!F10/'Raw Data'!F9-1,"")</f>
        <v>5.6614781189361807E-2</v>
      </c>
      <c r="G9" s="8">
        <f>IFERROR('Raw Data'!G10/'Raw Data'!G9-1,"")</f>
        <v>3.220723700384176E-2</v>
      </c>
      <c r="H9" s="8">
        <f>IFERROR('Raw Data'!H10/'Raw Data'!H9-1,"")</f>
        <v>-8.7956711705729274E-2</v>
      </c>
    </row>
    <row r="10" spans="1:8" x14ac:dyDescent="0.25">
      <c r="A10" s="13">
        <f>'Raw Data'!A11</f>
        <v>44682</v>
      </c>
      <c r="B10" s="8">
        <f>IFERROR('Raw Data'!B11/'Raw Data'!B10-1,"")</f>
        <v>-5.449627274820712E-2</v>
      </c>
      <c r="C10" s="8">
        <f>IFERROR('Raw Data'!C11/'Raw Data'!C10-1,"")</f>
        <v>1.2392838264154715E-3</v>
      </c>
      <c r="D10" s="8">
        <f>IFERROR('Raw Data'!D11/'Raw Data'!D10-1,"")</f>
        <v>0.10782507872545777</v>
      </c>
      <c r="E10" s="8">
        <f>IFERROR('Raw Data'!E11/'Raw Data'!E10-1,"")</f>
        <v>-1.9037363239162608E-2</v>
      </c>
      <c r="F10" s="8">
        <f>IFERROR('Raw Data'!F11/'Raw Data'!F10-1,"")</f>
        <v>-7.8916329972347099E-2</v>
      </c>
      <c r="G10" s="8">
        <f>IFERROR('Raw Data'!G11/'Raw Data'!G10-1,"")</f>
        <v>0.13763471838062813</v>
      </c>
      <c r="H10" s="8">
        <f>IFERROR('Raw Data'!H11/'Raw Data'!H10-1,"")</f>
        <v>5.3177568506868056E-5</v>
      </c>
    </row>
    <row r="11" spans="1:8" x14ac:dyDescent="0.25">
      <c r="A11" s="13">
        <f>'Raw Data'!A12</f>
        <v>44713</v>
      </c>
      <c r="B11" s="8">
        <f>IFERROR('Raw Data'!B12/'Raw Data'!B11-1,"")</f>
        <v>-8.1429705053329027E-2</v>
      </c>
      <c r="C11" s="8">
        <f>IFERROR('Raw Data'!C12/'Raw Data'!C11-1,"")</f>
        <v>-1.1251741619223377E-2</v>
      </c>
      <c r="D11" s="8">
        <f>IFERROR('Raw Data'!D12/'Raw Data'!D11-1,"")</f>
        <v>-0.14837780478009632</v>
      </c>
      <c r="E11" s="8">
        <f>IFERROR('Raw Data'!E12/'Raw Data'!E11-1,"")</f>
        <v>-2.4425024097829429E-4</v>
      </c>
      <c r="F11" s="8">
        <f>IFERROR('Raw Data'!F12/'Raw Data'!F11-1,"")</f>
        <v>-2.7657808427650865E-2</v>
      </c>
      <c r="G11" s="8">
        <f>IFERROR('Raw Data'!G12/'Raw Data'!G11-1,"")</f>
        <v>-0.10791663434226639</v>
      </c>
      <c r="H11" s="8">
        <f>IFERROR('Raw Data'!H12/'Raw Data'!H11-1,"")</f>
        <v>-8.3919999812243073E-2</v>
      </c>
    </row>
    <row r="12" spans="1:8" x14ac:dyDescent="0.25">
      <c r="A12" s="13">
        <f>'Raw Data'!A13</f>
        <v>44743</v>
      </c>
      <c r="B12" s="8">
        <f>IFERROR('Raw Data'!B13/'Raw Data'!B12-1,"")</f>
        <v>0.18863401361990961</v>
      </c>
      <c r="C12" s="8">
        <f>IFERROR('Raw Data'!C13/'Raw Data'!C12-1,"")</f>
        <v>-1.6844017788555932E-2</v>
      </c>
      <c r="D12" s="8">
        <f>IFERROR('Raw Data'!D13/'Raw Data'!D12-1,"")</f>
        <v>3.3482405022283279E-2</v>
      </c>
      <c r="E12" s="8">
        <f>IFERROR('Raw Data'!E13/'Raw Data'!E12-1,"")</f>
        <v>2.0028691616060135E-2</v>
      </c>
      <c r="F12" s="8">
        <f>IFERROR('Raw Data'!F13/'Raw Data'!F12-1,"")</f>
        <v>-2.7666607822730116E-2</v>
      </c>
      <c r="G12" s="8">
        <f>IFERROR('Raw Data'!G13/'Raw Data'!G12-1,"")</f>
        <v>0.13183077146507927</v>
      </c>
      <c r="H12" s="8">
        <f>IFERROR('Raw Data'!H13/'Raw Data'!H12-1,"")</f>
        <v>9.1116391659653351E-2</v>
      </c>
    </row>
    <row r="13" spans="1:8" x14ac:dyDescent="0.25">
      <c r="A13" s="13">
        <f>'Raw Data'!A14</f>
        <v>44774</v>
      </c>
      <c r="B13" s="8">
        <f>IFERROR('Raw Data'!B14/'Raw Data'!B13-1,"")</f>
        <v>-3.1208135027352313E-2</v>
      </c>
      <c r="C13" s="8">
        <f>IFERROR('Raw Data'!C14/'Raw Data'!C13-1,"")</f>
        <v>-6.9309809455926796E-2</v>
      </c>
      <c r="D13" s="8">
        <f>IFERROR('Raw Data'!D14/'Raw Data'!D13-1,"")</f>
        <v>-1.4129814790842299E-2</v>
      </c>
      <c r="E13" s="8">
        <f>IFERROR('Raw Data'!E14/'Raw Data'!E13-1,"")</f>
        <v>-3.8335633522189161E-2</v>
      </c>
      <c r="F13" s="8">
        <f>IFERROR('Raw Data'!F14/'Raw Data'!F13-1,"")</f>
        <v>-6.9827293243381883E-3</v>
      </c>
      <c r="G13" s="8">
        <f>IFERROR('Raw Data'!G14/'Raw Data'!G13-1,"")</f>
        <v>-4.2424730325782978E-3</v>
      </c>
      <c r="H13" s="8">
        <f>IFERROR('Raw Data'!H14/'Raw Data'!H13-1,"")</f>
        <v>-4.2440128258508625E-2</v>
      </c>
    </row>
    <row r="14" spans="1:8" x14ac:dyDescent="0.25">
      <c r="A14" s="13">
        <f>'Raw Data'!A15</f>
        <v>44805</v>
      </c>
      <c r="B14" s="8">
        <f>IFERROR('Raw Data'!B15/'Raw Data'!B14-1,"")</f>
        <v>-0.1209769031573622</v>
      </c>
      <c r="C14" s="8">
        <f>IFERROR('Raw Data'!C15/'Raw Data'!C14-1,"")</f>
        <v>1.2520337560930628E-2</v>
      </c>
      <c r="D14" s="8">
        <f>IFERROR('Raw Data'!D15/'Raw Data'!D14-1,"")</f>
        <v>-8.1157133015154481E-2</v>
      </c>
      <c r="E14" s="8">
        <f>IFERROR('Raw Data'!E15/'Raw Data'!E14-1,"")</f>
        <v>-8.5586994339443723E-2</v>
      </c>
      <c r="F14" s="8">
        <f>IFERROR('Raw Data'!F15/'Raw Data'!F14-1,"")</f>
        <v>-8.4747059693857762E-2</v>
      </c>
      <c r="G14" s="8">
        <f>IFERROR('Raw Data'!G15/'Raw Data'!G14-1,"")</f>
        <v>-8.6619874541213449E-2</v>
      </c>
      <c r="H14" s="8">
        <f>IFERROR('Raw Data'!H15/'Raw Data'!H14-1,"")</f>
        <v>-9.3395672060682666E-2</v>
      </c>
    </row>
    <row r="15" spans="1:8" x14ac:dyDescent="0.25">
      <c r="A15" s="13">
        <f>'Raw Data'!A16</f>
        <v>44835</v>
      </c>
      <c r="B15" s="8">
        <f>IFERROR('Raw Data'!B16/'Raw Data'!B15-1,"")</f>
        <v>0.10955138158568589</v>
      </c>
      <c r="C15" s="8">
        <f>IFERROR('Raw Data'!C16/'Raw Data'!C15-1,"")</f>
        <v>6.4948165814771475E-2</v>
      </c>
      <c r="D15" s="8">
        <f>IFERROR('Raw Data'!D16/'Raw Data'!D15-1,"")</f>
        <v>0.21537069378943619</v>
      </c>
      <c r="E15" s="8">
        <f>IFERROR('Raw Data'!E16/'Raw Data'!E15-1,"")</f>
        <v>6.8368433678594798E-2</v>
      </c>
      <c r="F15" s="8">
        <f>IFERROR('Raw Data'!F16/'Raw Data'!F15-1,"")</f>
        <v>7.4263092946268427E-2</v>
      </c>
      <c r="G15" s="8">
        <f>IFERROR('Raw Data'!G16/'Raw Data'!G15-1,"")</f>
        <v>0.26915579811275636</v>
      </c>
      <c r="H15" s="8">
        <f>IFERROR('Raw Data'!H16/'Raw Data'!H15-1,"")</f>
        <v>7.9863413762746971E-2</v>
      </c>
    </row>
    <row r="16" spans="1:8" x14ac:dyDescent="0.25">
      <c r="A16" s="13">
        <f>'Raw Data'!A17</f>
        <v>44866</v>
      </c>
      <c r="B16" s="8">
        <f>IFERROR('Raw Data'!B17/'Raw Data'!B16-1,"")</f>
        <v>-3.3027541845409014E-2</v>
      </c>
      <c r="C16" s="8">
        <f>IFERROR('Raw Data'!C17/'Raw Data'!C16-1,"")</f>
        <v>2.9769085489141922E-2</v>
      </c>
      <c r="D16" s="8">
        <f>IFERROR('Raw Data'!D17/'Raw Data'!D16-1,"")</f>
        <v>9.7712065820514393E-2</v>
      </c>
      <c r="E16" s="8">
        <f>IFERROR('Raw Data'!E17/'Raw Data'!E16-1,"")</f>
        <v>7.0361547646422995E-2</v>
      </c>
      <c r="F16" s="8">
        <f>IFERROR('Raw Data'!F17/'Raw Data'!F16-1,"")</f>
        <v>0.10759667004236628</v>
      </c>
      <c r="G16" s="8">
        <f>IFERROR('Raw Data'!G17/'Raw Data'!G16-1,"")</f>
        <v>1.2871598875090928E-2</v>
      </c>
      <c r="H16" s="8">
        <f>IFERROR('Raw Data'!H17/'Raw Data'!H16-1,"")</f>
        <v>5.3752893371106669E-2</v>
      </c>
    </row>
    <row r="17" spans="1:8" x14ac:dyDescent="0.25">
      <c r="A17" s="13">
        <f>'Raw Data'!A18</f>
        <v>44896</v>
      </c>
      <c r="B17" s="8">
        <f>IFERROR('Raw Data'!B18/'Raw Data'!B17-1,"")</f>
        <v>-0.1222725578833076</v>
      </c>
      <c r="C17" s="8">
        <f>IFERROR('Raw Data'!C18/'Raw Data'!C17-1,"")</f>
        <v>-7.5844325537833823E-3</v>
      </c>
      <c r="D17" s="8">
        <f>IFERROR('Raw Data'!D18/'Raw Data'!D17-1,"")</f>
        <v>-2.9526805130699718E-2</v>
      </c>
      <c r="E17" s="8">
        <f>IFERROR('Raw Data'!E18/'Raw Data'!E17-1,"")</f>
        <v>0</v>
      </c>
      <c r="F17" s="8">
        <f>IFERROR('Raw Data'!F18/'Raw Data'!F17-1,"")</f>
        <v>1.6089875871343473E-2</v>
      </c>
      <c r="G17" s="8">
        <f>IFERROR('Raw Data'!G18/'Raw Data'!G17-1,"")</f>
        <v>-9.3405433806166283E-3</v>
      </c>
      <c r="H17" s="8">
        <f>IFERROR('Raw Data'!H18/'Raw Data'!H17-1,"")</f>
        <v>-5.8971473977430078E-2</v>
      </c>
    </row>
    <row r="18" spans="1:8" x14ac:dyDescent="0.25">
      <c r="A18" s="13">
        <f>'Raw Data'!A19</f>
        <v>44927</v>
      </c>
      <c r="B18" s="8">
        <f>IFERROR('Raw Data'!B19/'Raw Data'!B18-1,"")</f>
        <v>0.1105211585742909</v>
      </c>
      <c r="C18" s="8">
        <f>IFERROR('Raw Data'!C19/'Raw Data'!C18-1,"")</f>
        <v>-7.4893686662405923E-2</v>
      </c>
      <c r="D18" s="8">
        <f>IFERROR('Raw Data'!D19/'Raw Data'!D18-1,"")</f>
        <v>5.1408107305733974E-2</v>
      </c>
      <c r="E18" s="8">
        <f>IFERROR('Raw Data'!E19/'Raw Data'!E18-1,"")</f>
        <v>-3.6000630180499038E-2</v>
      </c>
      <c r="F18" s="8">
        <f>IFERROR('Raw Data'!F19/'Raw Data'!F18-1,"")</f>
        <v>-5.4674953982068231E-2</v>
      </c>
      <c r="G18" s="8">
        <f>IFERROR('Raw Data'!G19/'Raw Data'!G18-1,"")</f>
        <v>5.1767742946232653E-2</v>
      </c>
      <c r="H18" s="8">
        <f>IFERROR('Raw Data'!H19/'Raw Data'!H18-1,"")</f>
        <v>6.1752857924208815E-2</v>
      </c>
    </row>
    <row r="19" spans="1:8" x14ac:dyDescent="0.25">
      <c r="A19" s="13">
        <f>'Raw Data'!A20</f>
        <v>44958</v>
      </c>
      <c r="B19" s="8">
        <f>IFERROR('Raw Data'!B20/'Raw Data'!B19-1,"")</f>
        <v>2.3182836053446954E-2</v>
      </c>
      <c r="C19" s="8">
        <f>IFERROR('Raw Data'!C20/'Raw Data'!C19-1,"")</f>
        <v>-5.5425882263184345E-2</v>
      </c>
      <c r="D19" s="8">
        <f>IFERROR('Raw Data'!D20/'Raw Data'!D19-1,"")</f>
        <v>2.4221361123329066E-2</v>
      </c>
      <c r="E19" s="8">
        <f>IFERROR('Raw Data'!E20/'Raw Data'!E19-1,"")</f>
        <v>-2.9517339245413887E-2</v>
      </c>
      <c r="F19" s="8">
        <f>IFERROR('Raw Data'!F20/'Raw Data'!F19-1,"")</f>
        <v>-3.3853091136120339E-2</v>
      </c>
      <c r="G19" s="8">
        <f>IFERROR('Raw Data'!G20/'Raw Data'!G19-1,"")</f>
        <v>-4.529145885508612E-2</v>
      </c>
      <c r="H19" s="8">
        <f>IFERROR('Raw Data'!H20/'Raw Data'!H19-1,"")</f>
        <v>-2.6112494098262107E-2</v>
      </c>
    </row>
    <row r="20" spans="1:8" x14ac:dyDescent="0.25">
      <c r="A20" s="13">
        <f>'Raw Data'!A21</f>
        <v>44986</v>
      </c>
      <c r="B20" s="8">
        <f>IFERROR('Raw Data'!B21/'Raw Data'!B20-1,"")</f>
        <v>0.11864861141351501</v>
      </c>
      <c r="C20" s="8">
        <f>IFERROR('Raw Data'!C21/'Raw Data'!C20-1,"")</f>
        <v>1.1353416752367895E-2</v>
      </c>
      <c r="D20" s="8">
        <f>IFERROR('Raw Data'!D21/'Raw Data'!D20-1,"")</f>
        <v>-9.0966173840449693E-2</v>
      </c>
      <c r="E20" s="8">
        <f>IFERROR('Raw Data'!E21/'Raw Data'!E20-1,"")</f>
        <v>5.0341084182888851E-2</v>
      </c>
      <c r="F20" s="8">
        <f>IFERROR('Raw Data'!F21/'Raw Data'!F20-1,"")</f>
        <v>8.0910051131554583E-2</v>
      </c>
      <c r="G20" s="8">
        <f>IFERROR('Raw Data'!G21/'Raw Data'!G20-1,"")</f>
        <v>-2.274594717168732E-3</v>
      </c>
      <c r="H20" s="8">
        <f>IFERROR('Raw Data'!H21/'Raw Data'!H20-1,"")</f>
        <v>3.5051612769053664E-2</v>
      </c>
    </row>
    <row r="21" spans="1:8" x14ac:dyDescent="0.25">
      <c r="A21" s="13">
        <f>'Raw Data'!A22</f>
        <v>45017</v>
      </c>
      <c r="B21" s="8">
        <f>IFERROR('Raw Data'!B22/'Raw Data'!B21-1,"")</f>
        <v>2.8987502219876893E-2</v>
      </c>
      <c r="C21" s="8">
        <f>IFERROR('Raw Data'!C22/'Raw Data'!C21-1,"")</f>
        <v>5.6128952929537235E-2</v>
      </c>
      <c r="D21" s="8">
        <f>IFERROR('Raw Data'!D22/'Raw Data'!D21-1,"")</f>
        <v>6.9180330994480288E-2</v>
      </c>
      <c r="E21" s="8">
        <f>IFERROR('Raw Data'!E22/'Raw Data'!E21-1,"")</f>
        <v>3.4177120252105064E-2</v>
      </c>
      <c r="F21" s="8">
        <f>IFERROR('Raw Data'!F22/'Raw Data'!F21-1,"")</f>
        <v>5.8303063997654503E-2</v>
      </c>
      <c r="G21" s="8">
        <f>IFERROR('Raw Data'!G22/'Raw Data'!G21-1,"")</f>
        <v>7.9153794122073684E-2</v>
      </c>
      <c r="H21" s="8">
        <f>IFERROR('Raw Data'!H22/'Raw Data'!H21-1,"")</f>
        <v>1.4642341448102281E-2</v>
      </c>
    </row>
    <row r="22" spans="1:8" x14ac:dyDescent="0.25">
      <c r="A22" s="13">
        <f>'Raw Data'!A23</f>
        <v>45047</v>
      </c>
      <c r="B22" s="8">
        <f>IFERROR('Raw Data'!B23/'Raw Data'!B22-1,"")</f>
        <v>4.6058217885828201E-2</v>
      </c>
      <c r="C22" s="8">
        <f>IFERROR('Raw Data'!C23/'Raw Data'!C22-1,"")</f>
        <v>-4.5632567718494887E-2</v>
      </c>
      <c r="D22" s="8">
        <f>IFERROR('Raw Data'!D23/'Raw Data'!D22-1,"")</f>
        <v>-1.8301366888985093E-2</v>
      </c>
      <c r="E22" s="8">
        <f>IFERROR('Raw Data'!E23/'Raw Data'!E22-1,"")</f>
        <v>-6.9992415961878218E-2</v>
      </c>
      <c r="F22" s="8">
        <f>IFERROR('Raw Data'!F23/'Raw Data'!F22-1,"")</f>
        <v>-8.8758191019839949E-2</v>
      </c>
      <c r="G22" s="8">
        <f>IFERROR('Raw Data'!G23/'Raw Data'!G22-1,"")</f>
        <v>-0.12906316739815715</v>
      </c>
      <c r="H22" s="8">
        <f>IFERROR('Raw Data'!H23/'Raw Data'!H22-1,"")</f>
        <v>2.4823474509163557E-3</v>
      </c>
    </row>
    <row r="23" spans="1:8" x14ac:dyDescent="0.25">
      <c r="A23" s="13">
        <f>'Raw Data'!A24</f>
        <v>45078</v>
      </c>
      <c r="B23" s="8">
        <f>IFERROR('Raw Data'!B24/'Raw Data'!B23-1,"")</f>
        <v>9.4329916912013312E-2</v>
      </c>
      <c r="C23" s="8">
        <f>IFERROR('Raw Data'!C24/'Raw Data'!C23-1,"")</f>
        <v>6.7457526821628866E-2</v>
      </c>
      <c r="D23" s="8">
        <f>IFERROR('Raw Data'!D24/'Raw Data'!D23-1,"")</f>
        <v>7.1697010584550913E-2</v>
      </c>
      <c r="E23" s="8">
        <f>IFERROR('Raw Data'!E24/'Raw Data'!E23-1,"")</f>
        <v>1.7074153972259642E-2</v>
      </c>
      <c r="F23" s="8">
        <f>IFERROR('Raw Data'!F24/'Raw Data'!F23-1,"")</f>
        <v>6.4842100311099937E-2</v>
      </c>
      <c r="G23" s="8">
        <f>IFERROR('Raw Data'!G24/'Raw Data'!G23-1,"")</f>
        <v>4.9618161434748176E-2</v>
      </c>
      <c r="H23" s="8">
        <f>IFERROR('Raw Data'!H24/'Raw Data'!H23-1,"")</f>
        <v>6.4727464980933958E-2</v>
      </c>
    </row>
    <row r="24" spans="1:8" x14ac:dyDescent="0.25">
      <c r="A24" s="13">
        <f>'Raw Data'!A25</f>
        <v>45108</v>
      </c>
      <c r="B24" s="8">
        <f>IFERROR('Raw Data'!B25/'Raw Data'!B24-1,"")</f>
        <v>1.2785391205068608E-2</v>
      </c>
      <c r="C24" s="8">
        <f>IFERROR('Raw Data'!C25/'Raw Data'!C24-1,"")</f>
        <v>1.2143648878666369E-2</v>
      </c>
      <c r="D24" s="8">
        <f>IFERROR('Raw Data'!D25/'Raw Data'!D24-1,"")</f>
        <v>9.3542540862235235E-2</v>
      </c>
      <c r="E24" s="8">
        <f>IFERROR('Raw Data'!E25/'Raw Data'!E24-1,"")</f>
        <v>2.839582985755551E-2</v>
      </c>
      <c r="F24" s="8">
        <f>IFERROR('Raw Data'!F25/'Raw Data'!F24-1,"")</f>
        <v>3.6541482713196682E-2</v>
      </c>
      <c r="G24" s="8">
        <f>IFERROR('Raw Data'!G25/'Raw Data'!G24-1,"")</f>
        <v>-9.3003414828096709E-5</v>
      </c>
      <c r="H24" s="8">
        <f>IFERROR('Raw Data'!H25/'Raw Data'!H24-1,"")</f>
        <v>3.113893232561149E-2</v>
      </c>
    </row>
    <row r="25" spans="1:8" x14ac:dyDescent="0.25">
      <c r="A25" s="13">
        <f>'Raw Data'!A26</f>
        <v>45139</v>
      </c>
      <c r="B25" s="8">
        <f>IFERROR('Raw Data'!B26/'Raw Data'!B25-1,"")</f>
        <v>-4.2383617268047957E-2</v>
      </c>
      <c r="C25" s="8">
        <f>IFERROR('Raw Data'!C26/'Raw Data'!C25-1,"")</f>
        <v>-2.7912200321067004E-2</v>
      </c>
      <c r="D25" s="8">
        <f>IFERROR('Raw Data'!D26/'Raw Data'!D25-1,"")</f>
        <v>-7.3626256209277985E-2</v>
      </c>
      <c r="E25" s="8">
        <f>IFERROR('Raw Data'!E26/'Raw Data'!E25-1,"")</f>
        <v>-3.3909240995457668E-2</v>
      </c>
      <c r="F25" s="8">
        <f>IFERROR('Raw Data'!F26/'Raw Data'!F25-1,"")</f>
        <v>-1.2539923923255536E-2</v>
      </c>
      <c r="G25" s="8">
        <f>IFERROR('Raw Data'!G26/'Raw Data'!G25-1,"")</f>
        <v>4.533254510838769E-2</v>
      </c>
      <c r="H25" s="8">
        <f>IFERROR('Raw Data'!H26/'Raw Data'!H25-1,"")</f>
        <v>-1.7716390138710958E-2</v>
      </c>
    </row>
    <row r="26" spans="1:8" x14ac:dyDescent="0.25">
      <c r="A26" s="13">
        <f>'Raw Data'!A27</f>
        <v>45170</v>
      </c>
      <c r="B26" s="8">
        <f>IFERROR('Raw Data'!B27/'Raw Data'!B26-1,"")</f>
        <v>-8.8678444233527332E-2</v>
      </c>
      <c r="C26" s="8">
        <f>IFERROR('Raw Data'!C27/'Raw Data'!C26-1,"")</f>
        <v>-3.6677391568330053E-2</v>
      </c>
      <c r="D26" s="8">
        <f>IFERROR('Raw Data'!D27/'Raw Data'!D26-1,"")</f>
        <v>-8.9523730460142614E-3</v>
      </c>
      <c r="E26" s="8">
        <f>IFERROR('Raw Data'!E27/'Raw Data'!E26-1,"")</f>
        <v>-5.692563353113711E-2</v>
      </c>
      <c r="F26" s="8">
        <f>IFERROR('Raw Data'!F27/'Raw Data'!F26-1,"")</f>
        <v>-5.4943692299420643E-2</v>
      </c>
      <c r="G26" s="8">
        <f>IFERROR('Raw Data'!G27/'Raw Data'!G26-1,"")</f>
        <v>5.7469168348192268E-2</v>
      </c>
      <c r="H26" s="8">
        <f>IFERROR('Raw Data'!H27/'Raw Data'!H26-1,"")</f>
        <v>-4.8719367343539433E-2</v>
      </c>
    </row>
    <row r="27" spans="1:8" x14ac:dyDescent="0.25">
      <c r="A27" s="13">
        <f>'Raw Data'!A28</f>
        <v>45200</v>
      </c>
      <c r="B27" s="8">
        <f>IFERROR('Raw Data'!B28/'Raw Data'!B27-1,"")</f>
        <v>-2.569846539589804E-3</v>
      </c>
      <c r="C27" s="8">
        <f>IFERROR('Raw Data'!C28/'Raw Data'!C27-1,"")</f>
        <v>-4.7576207969141304E-2</v>
      </c>
      <c r="D27" s="8">
        <f>IFERROR('Raw Data'!D28/'Raw Data'!D27-1,"")</f>
        <v>-3.4022365283424061E-2</v>
      </c>
      <c r="E27" s="8">
        <f>IFERROR('Raw Data'!E28/'Raw Data'!E27-1,"")</f>
        <v>9.1102123307991167E-3</v>
      </c>
      <c r="F27" s="8">
        <f>IFERROR('Raw Data'!F28/'Raw Data'!F27-1,"")</f>
        <v>3.5081033748902701E-2</v>
      </c>
      <c r="G27" s="8">
        <f>IFERROR('Raw Data'!G28/'Raw Data'!G27-1,"")</f>
        <v>-9.9761904424466419E-2</v>
      </c>
      <c r="H27" s="8">
        <f>IFERROR('Raw Data'!H28/'Raw Data'!H27-1,"")</f>
        <v>-2.1979688736381231E-2</v>
      </c>
    </row>
    <row r="28" spans="1:8" x14ac:dyDescent="0.25">
      <c r="A28" s="13">
        <f>'Raw Data'!A29</f>
        <v>45231</v>
      </c>
      <c r="B28" s="8">
        <f>IFERROR('Raw Data'!B29/'Raw Data'!B28-1,"")</f>
        <v>0.11378030834260433</v>
      </c>
      <c r="C28" s="8">
        <f>IFERROR('Raw Data'!C29/'Raw Data'!C28-1,"")</f>
        <v>5.0954089684951853E-2</v>
      </c>
      <c r="D28" s="8">
        <f>IFERROR('Raw Data'!D29/'Raw Data'!D28-1,"")</f>
        <v>0.12239310870970677</v>
      </c>
      <c r="E28" s="8">
        <f>IFERROR('Raw Data'!E29/'Raw Data'!E28-1,"")</f>
        <v>4.275689927140669E-2</v>
      </c>
      <c r="F28" s="8">
        <f>IFERROR('Raw Data'!F29/'Raw Data'!F28-1,"")</f>
        <v>2.3262062960859531E-2</v>
      </c>
      <c r="G28" s="8">
        <f>IFERROR('Raw Data'!G29/'Raw Data'!G28-1,"")</f>
        <v>-2.0505517052262445E-2</v>
      </c>
      <c r="H28" s="8">
        <f>IFERROR('Raw Data'!H29/'Raw Data'!H28-1,"")</f>
        <v>8.9179268775324783E-2</v>
      </c>
    </row>
    <row r="29" spans="1:8" x14ac:dyDescent="0.25">
      <c r="A29" s="13">
        <f>'Raw Data'!A30</f>
        <v>45261</v>
      </c>
      <c r="B29" s="8">
        <f>IFERROR('Raw Data'!B30/'Raw Data'!B29-1,"")</f>
        <v>1.3582330478246529E-2</v>
      </c>
      <c r="C29" s="8">
        <f>IFERROR('Raw Data'!C30/'Raw Data'!C29-1,"")</f>
        <v>1.344896296395981E-2</v>
      </c>
      <c r="D29" s="8">
        <f>IFERROR('Raw Data'!D30/'Raw Data'!D29-1,"")</f>
        <v>8.9825871621749931E-2</v>
      </c>
      <c r="E29" s="8">
        <f>IFERROR('Raw Data'!E30/'Raw Data'!E29-1,"")</f>
        <v>8.3846961289295585E-3</v>
      </c>
      <c r="F29" s="8">
        <f>IFERROR('Raw Data'!F30/'Raw Data'!F29-1,"")</f>
        <v>-4.5466264609295814E-2</v>
      </c>
      <c r="G29" s="8">
        <f>IFERROR('Raw Data'!G30/'Raw Data'!G29-1,"")</f>
        <v>-2.6863932656121858E-2</v>
      </c>
      <c r="H29" s="8">
        <f>IFERROR('Raw Data'!H30/'Raw Data'!H29-1,"")</f>
        <v>4.4229231057555163E-2</v>
      </c>
    </row>
    <row r="30" spans="1:8" x14ac:dyDescent="0.25">
      <c r="A30" s="13">
        <f>'Raw Data'!A31</f>
        <v>45292</v>
      </c>
      <c r="B30" s="8">
        <f>IFERROR('Raw Data'!B31/'Raw Data'!B30-1,"")</f>
        <v>-4.2227339159235044E-2</v>
      </c>
      <c r="C30" s="8">
        <f>IFERROR('Raw Data'!C31/'Raw Data'!C30-1,"")</f>
        <v>1.378057972699942E-2</v>
      </c>
      <c r="D30" s="8">
        <f>IFERROR('Raw Data'!D31/'Raw Data'!D30-1,"")</f>
        <v>3.1364920187515466E-2</v>
      </c>
      <c r="E30" s="8">
        <f>IFERROR('Raw Data'!E31/'Raw Data'!E30-1,"")</f>
        <v>9.5028471450728791E-3</v>
      </c>
      <c r="F30" s="8">
        <f>IFERROR('Raw Data'!F31/'Raw Data'!F30-1,"")</f>
        <v>7.9107326549718637E-2</v>
      </c>
      <c r="G30" s="8">
        <f>IFERROR('Raw Data'!G31/'Raw Data'!G30-1,"")</f>
        <v>2.8305583905067211E-2</v>
      </c>
      <c r="H30" s="8">
        <f>IFERROR('Raw Data'!H31/'Raw Data'!H30-1,"")</f>
        <v>1.5895707553547078E-2</v>
      </c>
    </row>
    <row r="31" spans="1:8" x14ac:dyDescent="0.25">
      <c r="A31" s="13">
        <f>'Raw Data'!A32</f>
        <v>45323</v>
      </c>
      <c r="B31" s="8">
        <f>IFERROR('Raw Data'!B32/'Raw Data'!B31-1,"")</f>
        <v>-1.8542914866176985E-2</v>
      </c>
      <c r="C31" s="8">
        <f>IFERROR('Raw Data'!C32/'Raw Data'!C31-1,"")</f>
        <v>2.3318668314788571E-2</v>
      </c>
      <c r="D31" s="8">
        <f>IFERROR('Raw Data'!D32/'Raw Data'!D31-1,"")</f>
        <v>6.7102678802222204E-2</v>
      </c>
      <c r="E31" s="8">
        <f>IFERROR('Raw Data'!E32/'Raw Data'!E31-1,"")</f>
        <v>8.9090235115065752E-3</v>
      </c>
      <c r="F31" s="8">
        <f>IFERROR('Raw Data'!F32/'Raw Data'!F31-1,"")</f>
        <v>1.1454972236423888E-2</v>
      </c>
      <c r="G31" s="8">
        <f>IFERROR('Raw Data'!G32/'Raw Data'!G31-1,"")</f>
        <v>2.6080856908737848E-2</v>
      </c>
      <c r="H31" s="8">
        <f>IFERROR('Raw Data'!H32/'Raw Data'!H31-1,"")</f>
        <v>5.1720640795068329E-2</v>
      </c>
    </row>
    <row r="32" spans="1:8" x14ac:dyDescent="0.25">
      <c r="A32" s="13">
        <f>'Raw Data'!A33</f>
        <v>45352</v>
      </c>
      <c r="B32" s="8">
        <f>IFERROR('Raw Data'!B33/'Raw Data'!B32-1,"")</f>
        <v>-5.1286286048157659E-2</v>
      </c>
      <c r="C32" s="8">
        <f>IFERROR('Raw Data'!C33/'Raw Data'!C32-1,"")</f>
        <v>-1.9767128114127841E-2</v>
      </c>
      <c r="D32" s="8">
        <f>IFERROR('Raw Data'!D33/'Raw Data'!D32-1,"")</f>
        <v>7.6534495563969074E-2</v>
      </c>
      <c r="E32" s="8">
        <f>IFERROR('Raw Data'!E33/'Raw Data'!E32-1,"")</f>
        <v>2.7480252401966831E-2</v>
      </c>
      <c r="F32" s="8">
        <f>IFERROR('Raw Data'!F33/'Raw Data'!F32-1,"")</f>
        <v>2.0825265087592859E-2</v>
      </c>
      <c r="G32" s="8">
        <f>IFERROR('Raw Data'!G33/'Raw Data'!G32-1,"")</f>
        <v>0.11213169737751816</v>
      </c>
      <c r="H32" s="8">
        <f>IFERROR('Raw Data'!H33/'Raw Data'!H32-1,"")</f>
        <v>3.1018779887961978E-2</v>
      </c>
    </row>
    <row r="33" spans="1:8" x14ac:dyDescent="0.25">
      <c r="A33" s="13">
        <f>'Raw Data'!A34</f>
        <v>45383</v>
      </c>
      <c r="B33" s="8">
        <f>IFERROR('Raw Data'!B34/'Raw Data'!B33-1,"")</f>
        <v>-6.7063547138767055E-3</v>
      </c>
      <c r="C33" s="8">
        <f>IFERROR('Raw Data'!C34/'Raw Data'!C33-1,"")</f>
        <v>-8.597247105516248E-2</v>
      </c>
      <c r="D33" s="8">
        <f>IFERROR('Raw Data'!D34/'Raw Data'!D33-1,"")</f>
        <v>-3.7152215574064673E-2</v>
      </c>
      <c r="E33" s="8">
        <f>IFERROR('Raw Data'!E34/'Raw Data'!E33-1,"")</f>
        <v>9.6435650154718111E-3</v>
      </c>
      <c r="F33" s="8">
        <f>IFERROR('Raw Data'!F34/'Raw Data'!F33-1,"")</f>
        <v>1.2350052690671465E-2</v>
      </c>
      <c r="G33" s="8">
        <f>IFERROR('Raw Data'!G34/'Raw Data'!G33-1,"")</f>
        <v>1.7463825325412463E-2</v>
      </c>
      <c r="H33" s="8">
        <f>IFERROR('Raw Data'!H34/'Raw Data'!H33-1,"")</f>
        <v>-4.1615071877915133E-2</v>
      </c>
    </row>
    <row r="34" spans="1:8" x14ac:dyDescent="0.25">
      <c r="A34" s="13">
        <f>'Raw Data'!A35</f>
        <v>45413</v>
      </c>
      <c r="B34" s="8">
        <f>IFERROR('Raw Data'!B35/'Raw Data'!B34-1,"")</f>
        <v>0.13022216707457956</v>
      </c>
      <c r="C34" s="8">
        <f>IFERROR('Raw Data'!C35/'Raw Data'!C34-1,"")</f>
        <v>2.2585063762739166E-2</v>
      </c>
      <c r="D34" s="8">
        <f>IFERROR('Raw Data'!D35/'Raw Data'!D34-1,"")</f>
        <v>5.6795778347102255E-2</v>
      </c>
      <c r="E34" s="8">
        <f>IFERROR('Raw Data'!E35/'Raw Data'!E34-1,"")</f>
        <v>1.8779232714348559E-2</v>
      </c>
      <c r="F34" s="8">
        <f>IFERROR('Raw Data'!F35/'Raw Data'!F34-1,"")</f>
        <v>8.2107601409708852E-3</v>
      </c>
      <c r="G34" s="8">
        <f>IFERROR('Raw Data'!G35/'Raw Data'!G34-1,"")</f>
        <v>-4.8660912001097234E-4</v>
      </c>
      <c r="H34" s="8">
        <f>IFERROR('Raw Data'!H35/'Raw Data'!H34-1,"")</f>
        <v>4.80211903102159E-2</v>
      </c>
    </row>
    <row r="35" spans="1:8" x14ac:dyDescent="0.25">
      <c r="A35" s="13">
        <f>'Raw Data'!A36</f>
        <v>45444</v>
      </c>
      <c r="B35" s="8">
        <f>IFERROR('Raw Data'!B36/'Raw Data'!B35-1,"")</f>
        <v>9.5552700030097304E-2</v>
      </c>
      <c r="C35" s="8">
        <f>IFERROR('Raw Data'!C36/'Raw Data'!C35-1,"")</f>
        <v>-3.4770097395845356E-3</v>
      </c>
      <c r="D35" s="8">
        <f>IFERROR('Raw Data'!D36/'Raw Data'!D35-1,"")</f>
        <v>-1.8261164084638626E-3</v>
      </c>
      <c r="E35" s="8">
        <f>IFERROR('Raw Data'!E36/'Raw Data'!E35-1,"")</f>
        <v>1.9289511536893622E-2</v>
      </c>
      <c r="F35" s="8">
        <f>IFERROR('Raw Data'!F36/'Raw Data'!F35-1,"")</f>
        <v>2.3096078978717127E-3</v>
      </c>
      <c r="G35" s="8">
        <f>IFERROR('Raw Data'!G36/'Raw Data'!G35-1,"")</f>
        <v>-1.8249888267664272E-2</v>
      </c>
      <c r="H35" s="8">
        <f>IFERROR('Raw Data'!H36/'Raw Data'!H35-1,"")</f>
        <v>3.4669801120743138E-2</v>
      </c>
    </row>
    <row r="36" spans="1:8" x14ac:dyDescent="0.25">
      <c r="A36" s="13">
        <f>'Raw Data'!A37</f>
        <v>45474</v>
      </c>
      <c r="B36" s="8">
        <f>IFERROR('Raw Data'!B37/'Raw Data'!B36-1,"")</f>
        <v>5.4410791718388918E-2</v>
      </c>
      <c r="C36" s="8">
        <f>IFERROR('Raw Data'!C37/'Raw Data'!C36-1,"")</f>
        <v>7.9980880186314662E-2</v>
      </c>
      <c r="D36" s="8">
        <f>IFERROR('Raw Data'!D37/'Raw Data'!D36-1,"")</f>
        <v>5.7941076142773662E-2</v>
      </c>
      <c r="E36" s="8">
        <f>IFERROR('Raw Data'!E37/'Raw Data'!E36-1,"")</f>
        <v>4.854666369507088E-2</v>
      </c>
      <c r="F36" s="8">
        <f>IFERROR('Raw Data'!F37/'Raw Data'!F36-1,"")</f>
        <v>-1.936176373137044E-2</v>
      </c>
      <c r="G36" s="8">
        <f>IFERROR('Raw Data'!G37/'Raw Data'!G36-1,"")</f>
        <v>3.0142295265928043E-2</v>
      </c>
      <c r="H36" s="8">
        <f>IFERROR('Raw Data'!H37/'Raw Data'!H36-1,"")</f>
        <v>1.1321317031913969E-2</v>
      </c>
    </row>
    <row r="37" spans="1:8" x14ac:dyDescent="0.25">
      <c r="A37" s="13">
        <f>'Raw Data'!A38</f>
        <v>45505</v>
      </c>
      <c r="B37" s="8">
        <f>IFERROR('Raw Data'!B38/'Raw Data'!B37-1,"")</f>
        <v>3.2353558978130526E-2</v>
      </c>
      <c r="C37" s="8">
        <f>IFERROR('Raw Data'!C38/'Raw Data'!C37-1,"")</f>
        <v>5.8719476708575691E-2</v>
      </c>
      <c r="D37" s="8">
        <f>IFERROR('Raw Data'!D38/'Raw Data'!D37-1,"")</f>
        <v>5.6390932857939058E-2</v>
      </c>
      <c r="E37" s="8">
        <f>IFERROR('Raw Data'!E38/'Raw Data'!E37-1,"")</f>
        <v>8.5855775866317874E-2</v>
      </c>
      <c r="F37" s="8">
        <f>IFERROR('Raw Data'!F38/'Raw Data'!F37-1,"")</f>
        <v>6.7056467881313253E-2</v>
      </c>
      <c r="G37" s="8">
        <f>IFERROR('Raw Data'!G38/'Raw Data'!G37-1,"")</f>
        <v>2.5257810810828119E-3</v>
      </c>
      <c r="H37" s="8">
        <f>IFERROR('Raw Data'!H38/'Raw Data'!H37-1,"")</f>
        <v>2.2834706816501793E-2</v>
      </c>
    </row>
    <row r="38" spans="1:8" x14ac:dyDescent="0.25">
      <c r="A38" s="13">
        <f>'Raw Data'!A39</f>
        <v>45536</v>
      </c>
      <c r="B38" s="8">
        <f>IFERROR('Raw Data'!B39/'Raw Data'!B38-1,"")</f>
        <v>1.7467293499339176E-2</v>
      </c>
      <c r="C38" s="8">
        <f>IFERROR('Raw Data'!C39/'Raw Data'!C38-1,"")</f>
        <v>-2.2910750091529208E-2</v>
      </c>
      <c r="D38" s="8">
        <f>IFERROR('Raw Data'!D39/'Raw Data'!D38-1,"")</f>
        <v>-6.2010615715366257E-2</v>
      </c>
      <c r="E38" s="8">
        <f>IFERROR('Raw Data'!E39/'Raw Data'!E38-1,"")</f>
        <v>-1.6194434393247414E-3</v>
      </c>
      <c r="F38" s="8">
        <f>IFERROR('Raw Data'!F39/'Raw Data'!F38-1,"")</f>
        <v>9.6770714291252169E-3</v>
      </c>
      <c r="G38" s="8">
        <f>IFERROR('Raw Data'!G39/'Raw Data'!G38-1,"")</f>
        <v>-6.1049053284732979E-3</v>
      </c>
      <c r="H38" s="8">
        <f>IFERROR('Raw Data'!H39/'Raw Data'!H38-1,"")</f>
        <v>2.0196884069700216E-2</v>
      </c>
    </row>
    <row r="39" spans="1:8" x14ac:dyDescent="0.25">
      <c r="A39" s="13">
        <f>'Raw Data'!A40</f>
        <v>45566</v>
      </c>
      <c r="B39" s="8">
        <f>IFERROR('Raw Data'!B40/'Raw Data'!B39-1,"")</f>
        <v>-3.0429274496477143E-2</v>
      </c>
      <c r="C39" s="8">
        <f>IFERROR('Raw Data'!C40/'Raw Data'!C39-1,"")</f>
        <v>-1.3575318531307889E-2</v>
      </c>
      <c r="D39" s="8">
        <f>IFERROR('Raw Data'!D40/'Raw Data'!D39-1,"")</f>
        <v>5.8901126123046321E-2</v>
      </c>
      <c r="E39" s="8">
        <f>IFERROR('Raw Data'!E40/'Raw Data'!E39-1,"")</f>
        <v>-9.1149566361042211E-2</v>
      </c>
      <c r="F39" s="8">
        <f>IFERROR('Raw Data'!F40/'Raw Data'!F39-1,"")</f>
        <v>-4.0697666021999979E-2</v>
      </c>
      <c r="G39" s="8">
        <f>IFERROR('Raw Data'!G40/'Raw Data'!G39-1,"")</f>
        <v>-3.7537323394568611E-3</v>
      </c>
      <c r="H39" s="8">
        <f>IFERROR('Raw Data'!H40/'Raw Data'!H39-1,"")</f>
        <v>-9.8967432768416463E-3</v>
      </c>
    </row>
    <row r="40" spans="1:8" x14ac:dyDescent="0.25">
      <c r="A40" s="13">
        <f>'Raw Data'!A41</f>
        <v>45597</v>
      </c>
      <c r="B40" s="8">
        <f>IFERROR('Raw Data'!B41/'Raw Data'!B40-1,"")</f>
        <v>5.1707019137456234E-2</v>
      </c>
      <c r="C40" s="8">
        <f>IFERROR('Raw Data'!C41/'Raw Data'!C40-1,"")</f>
        <v>-2.2558675642548542E-2</v>
      </c>
      <c r="D40" s="8">
        <f>IFERROR('Raw Data'!D41/'Raw Data'!D40-1,"")</f>
        <v>0.12527054663984316</v>
      </c>
      <c r="E40" s="8">
        <f>IFERROR('Raw Data'!E41/'Raw Data'!E40-1,"")</f>
        <v>-1.1391277573554626E-2</v>
      </c>
      <c r="F40" s="8">
        <f>IFERROR('Raw Data'!F41/'Raw Data'!F40-1,"")</f>
        <v>8.5240439195046314E-2</v>
      </c>
      <c r="G40" s="8">
        <f>IFERROR('Raw Data'!G41/'Raw Data'!G40-1,"")</f>
        <v>1.8404788054707577E-2</v>
      </c>
      <c r="H40" s="8">
        <f>IFERROR('Raw Data'!H41/'Raw Data'!H40-1,"")</f>
        <v>5.7301295572872668E-2</v>
      </c>
    </row>
    <row r="41" spans="1:8" x14ac:dyDescent="0.25">
      <c r="A41" s="13">
        <f>'Raw Data'!A42</f>
        <v>45627</v>
      </c>
      <c r="B41" s="8">
        <f>IFERROR('Raw Data'!B42/'Raw Data'!B41-1,"")</f>
        <v>5.5155167417220152E-2</v>
      </c>
      <c r="C41" s="8">
        <f>IFERROR('Raw Data'!C42/'Raw Data'!C41-1,"")</f>
        <v>-6.7028042706861801E-2</v>
      </c>
      <c r="D41" s="8">
        <f>IFERROR('Raw Data'!D42/'Raw Data'!D41-1,"")</f>
        <v>-4.0084924730237392E-2</v>
      </c>
      <c r="E41" s="8">
        <f>IFERROR('Raw Data'!E42/'Raw Data'!E41-1,"")</f>
        <v>-2.8402171840956059E-2</v>
      </c>
      <c r="F41" s="8">
        <f>IFERROR('Raw Data'!F42/'Raw Data'!F41-1,"")</f>
        <v>-6.4766294306676686E-2</v>
      </c>
      <c r="G41" s="8">
        <f>IFERROR('Raw Data'!G42/'Raw Data'!G41-1,"")</f>
        <v>-8.808080985567468E-2</v>
      </c>
      <c r="H41" s="8">
        <f>IFERROR('Raw Data'!H42/'Raw Data'!H41-1,"")</f>
        <v>-2.4990137047706917E-2</v>
      </c>
    </row>
    <row r="42" spans="1:8" x14ac:dyDescent="0.25">
      <c r="A42" s="13">
        <f>'Raw Data'!A43</f>
        <v>45658</v>
      </c>
      <c r="B42" s="8">
        <f>IFERROR('Raw Data'!B43/'Raw Data'!B42-1,"")</f>
        <v>-5.7583234538318817E-2</v>
      </c>
      <c r="C42" s="8">
        <f>IFERROR('Raw Data'!C43/'Raw Data'!C42-1,"")</f>
        <v>5.2067470893764067E-2</v>
      </c>
      <c r="D42" s="8">
        <f>IFERROR('Raw Data'!D43/'Raw Data'!D42-1,"")</f>
        <v>0.12085660750766336</v>
      </c>
      <c r="E42" s="8">
        <f>IFERROR('Raw Data'!E43/'Raw Data'!E42-1,"")</f>
        <v>1.9595383350250684E-2</v>
      </c>
      <c r="F42" s="8">
        <f>IFERROR('Raw Data'!F43/'Raw Data'!F42-1,"")</f>
        <v>-3.8641103371324093E-3</v>
      </c>
      <c r="G42" s="8">
        <f>IFERROR('Raw Data'!G43/'Raw Data'!G42-1,"")</f>
        <v>-6.8792734635955144E-3</v>
      </c>
      <c r="H42" s="8">
        <f>IFERROR('Raw Data'!H43/'Raw Data'!H42-1,"")</f>
        <v>2.7016304181138207E-2</v>
      </c>
    </row>
    <row r="43" spans="1:8" x14ac:dyDescent="0.25">
      <c r="A43" s="13">
        <f>'Raw Data'!A44</f>
        <v>45689</v>
      </c>
      <c r="B43" s="8">
        <f>IFERROR('Raw Data'!B44/'Raw Data'!B43-1,"")</f>
        <v>2.5872373886224986E-2</v>
      </c>
      <c r="C43" s="8">
        <f>IFERROR('Raw Data'!C44/'Raw Data'!C43-1,"")</f>
        <v>9.3269540112108862E-2</v>
      </c>
      <c r="D43" s="8">
        <f>IFERROR('Raw Data'!D44/'Raw Data'!D43-1,"")</f>
        <v>-9.9141257165651364E-3</v>
      </c>
      <c r="E43" s="8">
        <f>IFERROR('Raw Data'!E44/'Raw Data'!E43-1,"")</f>
        <v>0.12177050398543043</v>
      </c>
      <c r="F43" s="8">
        <f>IFERROR('Raw Data'!F44/'Raw Data'!F43-1,"")</f>
        <v>4.7291909073349014E-2</v>
      </c>
      <c r="G43" s="8">
        <f>IFERROR('Raw Data'!G44/'Raw Data'!G43-1,"")</f>
        <v>5.144450575486248E-2</v>
      </c>
      <c r="H43" s="8">
        <f>IFERROR('Raw Data'!H44/'Raw Data'!H43-1,"")</f>
        <v>-1.4242092674326523E-2</v>
      </c>
    </row>
    <row r="44" spans="1:8" x14ac:dyDescent="0.25">
      <c r="A44" s="13">
        <f>'Raw Data'!A45</f>
        <v>45717</v>
      </c>
      <c r="B44" s="8">
        <f>IFERROR('Raw Data'!B45/'Raw Data'!B44-1,"")</f>
        <v>-8.1500165925025625E-2</v>
      </c>
      <c r="C44" s="8">
        <f>IFERROR('Raw Data'!C45/'Raw Data'!C44-1,"")</f>
        <v>4.9690146823728742E-3</v>
      </c>
      <c r="D44" s="8">
        <f>IFERROR('Raw Data'!D45/'Raw Data'!D44-1,"")</f>
        <v>-7.3115317678615233E-2</v>
      </c>
      <c r="E44" s="8">
        <f>IFERROR('Raw Data'!E45/'Raw Data'!E44-1,"")</f>
        <v>1.317970477509367E-2</v>
      </c>
      <c r="F44" s="8">
        <f>IFERROR('Raw Data'!F45/'Raw Data'!F44-1,"")</f>
        <v>-1.9673362426542162E-2</v>
      </c>
      <c r="G44" s="8">
        <f>IFERROR('Raw Data'!G45/'Raw Data'!G44-1,"")</f>
        <v>6.8265559207955739E-2</v>
      </c>
      <c r="H44" s="8">
        <f>IFERROR('Raw Data'!H45/'Raw Data'!H44-1,"")</f>
        <v>-5.7544697623646002E-2</v>
      </c>
    </row>
    <row r="45" spans="1:8" x14ac:dyDescent="0.25">
      <c r="A45" s="13">
        <f>'Raw Data'!A46</f>
        <v>45748</v>
      </c>
      <c r="B45" s="8">
        <f>IFERROR('Raw Data'!B46/'Raw Data'!B45-1,"")</f>
        <v>-4.3352885444781553E-2</v>
      </c>
      <c r="C45" s="8">
        <f>IFERROR('Raw Data'!C46/'Raw Data'!C45-1,"")</f>
        <v>-5.7465044638383422E-2</v>
      </c>
      <c r="D45" s="8">
        <f>IFERROR('Raw Data'!D46/'Raw Data'!D45-1,"")</f>
        <v>3.3702336269061384E-3</v>
      </c>
      <c r="E45" s="8">
        <f>IFERROR('Raw Data'!E46/'Raw Data'!E45-1,"")</f>
        <v>1.298532603831104E-2</v>
      </c>
      <c r="F45" s="8">
        <f>IFERROR('Raw Data'!F46/'Raw Data'!F45-1,"")</f>
        <v>-4.0116361062114247E-2</v>
      </c>
      <c r="G45" s="8">
        <f>IFERROR('Raw Data'!G46/'Raw Data'!G45-1,"")</f>
        <v>-0.11183046742658542</v>
      </c>
      <c r="H45" s="8">
        <f>IFERROR('Raw Data'!H46/'Raw Data'!H45-1,"")</f>
        <v>-7.6249433346855522E-3</v>
      </c>
    </row>
    <row r="46" spans="1:8" x14ac:dyDescent="0.25">
      <c r="A46" s="13">
        <f>'Raw Data'!A47</f>
        <v>45778</v>
      </c>
      <c r="B46" s="8">
        <f>IFERROR('Raw Data'!B47/'Raw Data'!B46-1,"")</f>
        <v>-5.358404198147626E-2</v>
      </c>
      <c r="C46" s="8">
        <f>IFERROR('Raw Data'!C47/'Raw Data'!C46-1,"")</f>
        <v>1.4752845884007382E-3</v>
      </c>
      <c r="D46" s="8">
        <f>IFERROR('Raw Data'!D47/'Raw Data'!D46-1,"")</f>
        <v>7.9224992611058642E-2</v>
      </c>
      <c r="E46" s="8">
        <f>IFERROR('Raw Data'!E47/'Raw Data'!E46-1,"")</f>
        <v>-6.2028433244653014E-3</v>
      </c>
      <c r="F46" s="8">
        <f>IFERROR('Raw Data'!F47/'Raw Data'!F46-1,"")</f>
        <v>4.5026747803055045E-2</v>
      </c>
      <c r="G46" s="8">
        <f>IFERROR('Raw Data'!G47/'Raw Data'!G46-1,"")</f>
        <v>-2.2605314413549626E-2</v>
      </c>
      <c r="H46" s="8">
        <f>IFERROR('Raw Data'!H47/'Raw Data'!H46-1,"")</f>
        <v>6.1523825990399406E-2</v>
      </c>
    </row>
    <row r="47" spans="1:8" x14ac:dyDescent="0.25">
      <c r="A47" s="13">
        <f>'Raw Data'!A48</f>
        <v>45809</v>
      </c>
      <c r="B47" s="8">
        <f>IFERROR('Raw Data'!B48/'Raw Data'!B47-1,"")</f>
        <v>2.1508449525041273E-2</v>
      </c>
      <c r="C47" s="8">
        <f>IFERROR('Raw Data'!C48/'Raw Data'!C47-1,"")</f>
        <v>-1.5849339438660737E-2</v>
      </c>
      <c r="D47" s="8">
        <f>IFERROR('Raw Data'!D48/'Raw Data'!D47-1,"")</f>
        <v>9.8143912265300282E-2</v>
      </c>
      <c r="E47" s="8">
        <f>IFERROR('Raw Data'!E48/'Raw Data'!E47-1,"")</f>
        <v>-1.1746985477074867E-2</v>
      </c>
      <c r="F47" s="8">
        <f>IFERROR('Raw Data'!F48/'Raw Data'!F47-1,"")</f>
        <v>-6.2216699144307275E-2</v>
      </c>
      <c r="G47" s="8">
        <f>IFERROR('Raw Data'!G48/'Raw Data'!G47-1,"")</f>
        <v>5.3763526225014902E-2</v>
      </c>
      <c r="H47" s="8">
        <f>IFERROR('Raw Data'!H48/'Raw Data'!H47-1,"")</f>
        <v>4.9606839486983301E-2</v>
      </c>
    </row>
    <row r="48" spans="1:8" x14ac:dyDescent="0.25">
      <c r="A48" s="13">
        <f>'Raw Data'!A49</f>
        <v>45839</v>
      </c>
      <c r="B48" s="8">
        <f>IFERROR('Raw Data'!B49/'Raw Data'!B48-1,"")</f>
        <v>1.169770369544354E-2</v>
      </c>
      <c r="C48" s="8">
        <f>IFERROR('Raw Data'!C49/'Raw Data'!C48-1,"")</f>
        <v>7.8494184937452749E-2</v>
      </c>
      <c r="D48" s="8">
        <f>IFERROR('Raw Data'!D49/'Raw Data'!D48-1,"")</f>
        <v>2.6757209683560879E-2</v>
      </c>
      <c r="E48" s="8">
        <f>IFERROR('Raw Data'!E49/'Raw Data'!E48-1,"")</f>
        <v>-4.0424051275284034E-2</v>
      </c>
      <c r="F48" s="8">
        <f>IFERROR('Raw Data'!F49/'Raw Data'!F48-1,"")</f>
        <v>-4.9089874548803092E-2</v>
      </c>
      <c r="G48" s="8">
        <f>IFERROR('Raw Data'!G49/'Raw Data'!G48-1,"")</f>
        <v>3.5621352969356757E-2</v>
      </c>
      <c r="H48" s="8">
        <f>IFERROR('Raw Data'!H49/'Raw Data'!H48-1,"")</f>
        <v>2.1666562627421726E-2</v>
      </c>
    </row>
    <row r="49" spans="1:8" x14ac:dyDescent="0.25">
      <c r="A49" s="13">
        <f>'Raw Data'!A50</f>
        <v>45870</v>
      </c>
      <c r="B49" s="8">
        <f>IFERROR('Raw Data'!B50/'Raw Data'!B49-1,"")</f>
        <v>0.11963890974861613</v>
      </c>
      <c r="C49" s="8">
        <f>IFERROR('Raw Data'!C50/'Raw Data'!C49-1,"")</f>
        <v>8.3346050776095026E-2</v>
      </c>
      <c r="D49" s="8">
        <f>IFERROR('Raw Data'!D50/'Raw Data'!D49-1,"")</f>
        <v>1.7485821512841504E-2</v>
      </c>
      <c r="E49" s="8">
        <f>IFERROR('Raw Data'!E50/'Raw Data'!E49-1,"")</f>
        <v>1.6202527297076719E-2</v>
      </c>
      <c r="F49" s="8">
        <f>IFERROR('Raw Data'!F50/'Raw Data'!F49-1,"")</f>
        <v>4.3663135040555412E-2</v>
      </c>
      <c r="G49" s="8">
        <f>IFERROR('Raw Data'!G50/'Raw Data'!G49-1,"")</f>
        <v>3.3263368669355531E-2</v>
      </c>
      <c r="H49" s="8">
        <f>IFERROR('Raw Data'!H50/'Raw Data'!H49-1,"")</f>
        <v>1.9066444308978747E-2</v>
      </c>
    </row>
    <row r="50" spans="1:8" x14ac:dyDescent="0.25">
      <c r="A50" s="13">
        <f>'Raw Data'!A51</f>
        <v>45901</v>
      </c>
      <c r="B50" s="8">
        <f>IFERROR('Raw Data'!B51/'Raw Data'!B50-1,"")</f>
        <v>9.6881319850616432E-2</v>
      </c>
      <c r="C50" s="8">
        <f>IFERROR('Raw Data'!C51/'Raw Data'!C50-1,"")</f>
        <v>4.6565544522785052E-2</v>
      </c>
      <c r="D50" s="8">
        <f>IFERROR('Raw Data'!D51/'Raw Data'!D50-1,"")</f>
        <v>4.6479889221420434E-2</v>
      </c>
      <c r="E50" s="8">
        <f>IFERROR('Raw Data'!E51/'Raw Data'!E50-1,"")</f>
        <v>-3.132887964100628E-2</v>
      </c>
      <c r="F50" s="8">
        <f>IFERROR('Raw Data'!F51/'Raw Data'!F50-1,"")</f>
        <v>-2.15869109431166E-2</v>
      </c>
      <c r="G50" s="8">
        <f>IFERROR('Raw Data'!G51/'Raw Data'!G50-1,"")</f>
        <v>-1.3474523189334175E-2</v>
      </c>
      <c r="H50" s="8">
        <f>IFERROR('Raw Data'!H51/'Raw Data'!H50-1,"")</f>
        <v>3.5323687168278495E-2</v>
      </c>
    </row>
    <row r="51" spans="1:8" x14ac:dyDescent="0.25">
      <c r="A51" s="13">
        <f>'Raw Data'!A52</f>
        <v>45931</v>
      </c>
      <c r="B51" s="8">
        <f>IFERROR('Raw Data'!B52/'Raw Data'!B51-1,"")</f>
        <v>6.1815107420867932E-2</v>
      </c>
      <c r="C51" s="8">
        <f>IFERROR('Raw Data'!C52/'Raw Data'!C51-1,"")</f>
        <v>1.8606349751907336E-2</v>
      </c>
      <c r="D51" s="8">
        <f>IFERROR('Raw Data'!D52/'Raw Data'!D51-1,"")</f>
        <v>-8.8685767789838943E-3</v>
      </c>
      <c r="E51" s="8">
        <f>IFERROR('Raw Data'!E52/'Raw Data'!E51-1,"")</f>
        <v>3.8902477188976992E-2</v>
      </c>
      <c r="F51" s="8">
        <f>IFERROR('Raw Data'!F52/'Raw Data'!F51-1,"")</f>
        <v>-1.4503448167928035E-2</v>
      </c>
      <c r="G51" s="8">
        <f>IFERROR('Raw Data'!G52/'Raw Data'!G51-1,"")</f>
        <v>1.4279368685936156E-2</v>
      </c>
      <c r="H51" s="8">
        <f>IFERROR('Raw Data'!H52/'Raw Data'!H51-1,"")</f>
        <v>2.268687184864504E-2</v>
      </c>
    </row>
    <row r="52" spans="1:8" x14ac:dyDescent="0.25">
      <c r="A52" s="13">
        <f>'Raw Data'!A53</f>
        <v>45962</v>
      </c>
      <c r="B52" s="8">
        <f>IFERROR('Raw Data'!B53/'Raw Data'!B52-1,"")</f>
        <v>3.236421707366044E-2</v>
      </c>
      <c r="C52" s="8">
        <f>IFERROR('Raw Data'!C53/'Raw Data'!C52-1,"")</f>
        <v>0.10252443724084981</v>
      </c>
      <c r="D52" s="8">
        <f>IFERROR('Raw Data'!D53/'Raw Data'!D52-1,"")</f>
        <v>6.299814625869482E-3</v>
      </c>
      <c r="E52" s="8">
        <f>IFERROR('Raw Data'!E53/'Raw Data'!E52-1,"")</f>
        <v>6.12482355370918E-2</v>
      </c>
      <c r="F52" s="8">
        <f>IFERROR('Raw Data'!F53/'Raw Data'!F52-1,"")</f>
        <v>-1.4697083672281619E-2</v>
      </c>
      <c r="G52" s="8">
        <f>IFERROR('Raw Data'!G53/'Raw Data'!G52-1,"")</f>
        <v>2.2507008415137086E-2</v>
      </c>
      <c r="H52" s="8">
        <f>IFERROR('Raw Data'!H53/'Raw Data'!H52-1,"")</f>
        <v>1.2996182489655173E-3</v>
      </c>
    </row>
    <row r="53" spans="1:8" x14ac:dyDescent="0.25">
      <c r="A53" s="13">
        <f>'Raw Data'!A54</f>
        <v>45992</v>
      </c>
      <c r="B53" s="8">
        <f>IFERROR('Raw Data'!B54/'Raw Data'!B53-1,"")</f>
        <v>-2.5067289708011753E-2</v>
      </c>
      <c r="C53" s="8">
        <f>IFERROR('Raw Data'!C54/'Raw Data'!C53-1,"")</f>
        <v>1.4494583197421917E-4</v>
      </c>
      <c r="D53" s="8">
        <f>IFERROR('Raw Data'!D54/'Raw Data'!D53-1,"")</f>
        <v>2.9193897282341341E-2</v>
      </c>
      <c r="E53" s="8">
        <f>IFERROR('Raw Data'!E54/'Raw Data'!E53-1,"")</f>
        <v>-3.7185057406294741E-2</v>
      </c>
      <c r="F53" s="8">
        <f>IFERROR('Raw Data'!F54/'Raw Data'!F53-1,"")</f>
        <v>-3.273489189247436E-2</v>
      </c>
      <c r="G53" s="8">
        <f>IFERROR('Raw Data'!G54/'Raw Data'!G53-1,"")</f>
        <v>3.8129819389683517E-2</v>
      </c>
      <c r="H53" s="8">
        <f>IFERROR('Raw Data'!H54/'Raw Data'!H53-1,"")</f>
        <v>-5.2413445899601729E-4</v>
      </c>
    </row>
    <row r="54" spans="1:8" x14ac:dyDescent="0.25">
      <c r="A54" s="13">
        <f>'Raw Data'!A55</f>
        <v>46023</v>
      </c>
      <c r="B54" s="8">
        <f>IFERROR('Raw Data'!B55/'Raw Data'!B54-1,"")</f>
        <v>-4.5537962947154176E-2</v>
      </c>
      <c r="C54" s="8">
        <f>IFERROR('Raw Data'!C55/'Raw Data'!C54-1,"")</f>
        <v>9.8091354262622055E-2</v>
      </c>
      <c r="D54" s="8">
        <f>IFERROR('Raw Data'!D55/'Raw Data'!D54-1,"")</f>
        <v>-4.6397475532898413E-2</v>
      </c>
      <c r="E54" s="8">
        <f>IFERROR('Raw Data'!E55/'Raw Data'!E54-1,"")</f>
        <v>7.0090004979620701E-2</v>
      </c>
      <c r="F54" s="8">
        <f>IFERROR('Raw Data'!F55/'Raw Data'!F54-1,"")</f>
        <v>6.65520737923877E-2</v>
      </c>
      <c r="G54" s="8">
        <f>IFERROR('Raw Data'!G55/'Raw Data'!G54-1,"")</f>
        <v>0.17500406299282045</v>
      </c>
      <c r="H54" s="8">
        <f>IFERROR('Raw Data'!H55/'Raw Data'!H54-1,"")</f>
        <v>1.3662958878094988E-2</v>
      </c>
    </row>
    <row r="55" spans="1:8" x14ac:dyDescent="0.25">
      <c r="A55" s="13">
        <f>'Raw Data'!A56</f>
        <v>46054</v>
      </c>
      <c r="B55" s="8">
        <f>IFERROR('Raw Data'!B56/'Raw Data'!B55-1,"")</f>
        <v>1.9065610361778118E-2</v>
      </c>
      <c r="C55" s="8">
        <f>IFERROR('Raw Data'!C56/'Raw Data'!C55-1,"")</f>
        <v>9.9012865176353548E-2</v>
      </c>
      <c r="D55" s="8">
        <f>IFERROR('Raw Data'!D56/'Raw Data'!D55-1,"")</f>
        <v>-1.8274625740444583E-2</v>
      </c>
      <c r="E55" s="8">
        <f>IFERROR('Raw Data'!E56/'Raw Data'!E55-1,"")</f>
        <v>9.0228635594069129E-2</v>
      </c>
      <c r="F55" s="8">
        <f>IFERROR('Raw Data'!F56/'Raw Data'!F55-1,"")</f>
        <v>0.10166688774144039</v>
      </c>
      <c r="G55" s="8">
        <f>IFERROR('Raw Data'!G56/'Raw Data'!G55-1,"")</f>
        <v>8.5689455924006896E-2</v>
      </c>
      <c r="H55" s="8">
        <f>IFERROR('Raw Data'!H56/'Raw Data'!H55-1,"")</f>
        <v>-8.6683446913609075E-3</v>
      </c>
    </row>
    <row r="56" spans="1:8" x14ac:dyDescent="0.25">
      <c r="A56" s="13">
        <f>'Raw Data'!A57</f>
        <v>46082</v>
      </c>
      <c r="B56" s="8">
        <f>IFERROR('Raw Data'!B57/'Raw Data'!B56-1,"")</f>
        <v>-3.9329241761027811E-2</v>
      </c>
      <c r="C56" s="8">
        <f>IFERROR('Raw Data'!C57/'Raw Data'!C56-1,"")</f>
        <v>-1.6060836219896624E-2</v>
      </c>
      <c r="D56" s="8">
        <f>IFERROR('Raw Data'!D57/'Raw Data'!D56-1,"")</f>
        <v>-2.044618332582282E-2</v>
      </c>
      <c r="E56" s="8">
        <f>IFERROR('Raw Data'!E57/'Raw Data'!E56-1,"")</f>
        <v>-6.114613848684658E-2</v>
      </c>
      <c r="F56" s="8">
        <f>IFERROR('Raw Data'!F57/'Raw Data'!F56-1,"")</f>
        <v>-0.13612433878542562</v>
      </c>
      <c r="G56" s="8">
        <f>IFERROR('Raw Data'!G57/'Raw Data'!G56-1,"")</f>
        <v>0.11252451088758297</v>
      </c>
      <c r="H56" s="8">
        <f>IFERROR('Raw Data'!H57/'Raw Data'!H56-1,"")</f>
        <v>-5.0932690926302593E-2</v>
      </c>
    </row>
    <row r="57" spans="1:8" x14ac:dyDescent="0.25">
      <c r="A57" s="13">
        <f>'Raw Data'!A58</f>
        <v>46113</v>
      </c>
      <c r="B57" s="8">
        <f>IFERROR('Raw Data'!B58/'Raw Data'!B57-1,"")</f>
        <v>6.9191177564511985E-2</v>
      </c>
      <c r="C57" s="8">
        <f>IFERROR('Raw Data'!C58/'Raw Data'!C57-1,"")</f>
        <v>-5.9687407768094558E-2</v>
      </c>
      <c r="D57" s="8">
        <f>IFERROR('Raw Data'!D58/'Raw Data'!D57-1,"")</f>
        <v>7.0278166826246435E-2</v>
      </c>
      <c r="E57" s="8">
        <f>IFERROR('Raw Data'!E58/'Raw Data'!E57-1,"")</f>
        <v>3.5634494725659493E-2</v>
      </c>
      <c r="F57" s="8">
        <f>IFERROR('Raw Data'!F58/'Raw Data'!F57-1,"")</f>
        <v>2.6014897880003884E-2</v>
      </c>
      <c r="G57" s="8">
        <f>IFERROR('Raw Data'!G58/'Raw Data'!G57-1,"")</f>
        <v>-9.0357208962850155E-2</v>
      </c>
      <c r="H57" s="8">
        <f>IFERROR('Raw Data'!H58/'Raw Data'!H57-1,"")</f>
        <v>0.10423338580801356</v>
      </c>
    </row>
    <row r="58" spans="1:8" x14ac:dyDescent="0.25">
      <c r="A58" s="13">
        <f>'Raw Data'!A59</f>
        <v>46143</v>
      </c>
      <c r="B58" s="8">
        <f>IFERROR('Raw Data'!B59/'Raw Data'!B58-1,"")</f>
        <v>0.15108715234247483</v>
      </c>
      <c r="C58" s="8">
        <f>IFERROR('Raw Data'!C59/'Raw Data'!C58-1,"")</f>
        <v>-1.4027078221349076E-2</v>
      </c>
      <c r="D58" s="8">
        <f>IFERROR('Raw Data'!D59/'Raw Data'!D58-1,"")</f>
        <v>-4.4440191207603785E-2</v>
      </c>
      <c r="E58" s="8">
        <f>IFERROR('Raw Data'!E59/'Raw Data'!E58-1,"")</f>
        <v>3.174132469474511E-3</v>
      </c>
      <c r="F58" s="8">
        <f>IFERROR('Raw Data'!F59/'Raw Data'!F58-1,"")</f>
        <v>-2.3998920767914322E-2</v>
      </c>
      <c r="G58" s="8">
        <f>IFERROR('Raw Data'!G59/'Raw Data'!G58-1,"")</f>
        <v>-5.2381575823409299E-2</v>
      </c>
      <c r="H58" s="8">
        <f>IFERROR('Raw Data'!H59/'Raw Data'!H58-1,"")</f>
        <v>5.1470355158900194E-2</v>
      </c>
    </row>
    <row r="59" spans="1:8" x14ac:dyDescent="0.25">
      <c r="A59" s="13">
        <f>'Raw Data'!A60</f>
        <v>46174</v>
      </c>
      <c r="B59" s="8">
        <f>IFERROR('Raw Data'!B60/'Raw Data'!B59-1,"")</f>
        <v>-7.2742453170737797E-2</v>
      </c>
      <c r="C59" s="8">
        <f>IFERROR('Raw Data'!C60/'Raw Data'!C59-1,"")</f>
        <v>0.12710246636397748</v>
      </c>
      <c r="D59" s="8">
        <f>IFERROR('Raw Data'!D60/'Raw Data'!D59-1,"")</f>
        <v>9.3615246501800087E-2</v>
      </c>
      <c r="E59" s="8">
        <f>IFERROR('Raw Data'!E60/'Raw Data'!E59-1,"")</f>
        <v>3.5244925621400913E-2</v>
      </c>
      <c r="F59" s="8">
        <f>IFERROR('Raw Data'!F60/'Raw Data'!F59-1,"")</f>
        <v>2.1454415414770667E-2</v>
      </c>
      <c r="G59" s="8">
        <f>IFERROR('Raw Data'!G60/'Raw Data'!G59-1,"")</f>
        <v>-5.8791161393758173E-2</v>
      </c>
      <c r="H59" s="8">
        <f>IFERROR('Raw Data'!H60/'Raw Data'!H59-1,"")</f>
        <v>-1.0646379497242009E-2</v>
      </c>
    </row>
    <row r="60" spans="1:8" x14ac:dyDescent="0.25">
      <c r="A60" s="13">
        <f>'Raw Data'!A61</f>
        <v>46204</v>
      </c>
      <c r="B60" s="8">
        <f>IFERROR('Raw Data'!B61/'Raw Data'!B60-1,"")</f>
        <v>6.756296084927782E-2</v>
      </c>
      <c r="C60" s="8">
        <f>IFERROR('Raw Data'!C61/'Raw Data'!C60-1,"")</f>
        <v>9.3712052235650489E-3</v>
      </c>
      <c r="D60" s="8">
        <f>IFERROR('Raw Data'!D61/'Raw Data'!D60-1,"")</f>
        <v>7.9567451866127348E-2</v>
      </c>
      <c r="E60" s="8">
        <f>IFERROR('Raw Data'!E61/'Raw Data'!E60-1,"")</f>
        <v>7.7765463680280478E-2</v>
      </c>
      <c r="F60" s="8">
        <f>IFERROR('Raw Data'!F61/'Raw Data'!F60-1,"")</f>
        <v>-7.3061208943223654E-3</v>
      </c>
      <c r="G60" s="8">
        <f>IFERROR('Raw Data'!G61/'Raw Data'!G60-1,"")</f>
        <v>0.1369222845679321</v>
      </c>
      <c r="H60" s="8">
        <f>IFERROR('Raw Data'!H61/'Raw Data'!H60-1,"")</f>
        <v>-1.2853961106146228E-3</v>
      </c>
    </row>
    <row r="62" spans="1:8" x14ac:dyDescent="0.25">
      <c r="A62" s="7" t="s">
        <v>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workbookViewId="0">
      <selection activeCell="F15" sqref="F15"/>
    </sheetView>
  </sheetViews>
  <sheetFormatPr defaultRowHeight="15" x14ac:dyDescent="0.25"/>
  <cols>
    <col min="1" max="1" width="18.140625" bestFit="1" customWidth="1"/>
    <col min="2" max="2" width="6.28515625" bestFit="1" customWidth="1"/>
    <col min="3" max="3" width="6.5703125" bestFit="1" customWidth="1"/>
    <col min="4" max="4" width="16.42578125" bestFit="1" customWidth="1"/>
    <col min="5" max="5" width="11" bestFit="1" customWidth="1"/>
    <col min="6" max="6" width="30" customWidth="1"/>
  </cols>
  <sheetData>
    <row r="1" spans="1:6" ht="30" x14ac:dyDescent="0.25">
      <c r="A1" s="4" t="s">
        <v>18</v>
      </c>
      <c r="B1" s="4" t="s">
        <v>19</v>
      </c>
      <c r="C1" s="4" t="s">
        <v>20</v>
      </c>
      <c r="D1" s="12" t="s">
        <v>21</v>
      </c>
      <c r="E1" s="12" t="s">
        <v>22</v>
      </c>
      <c r="F1" s="4" t="s">
        <v>23</v>
      </c>
    </row>
    <row r="2" spans="1:6" x14ac:dyDescent="0.25">
      <c r="A2" s="5" t="s">
        <v>24</v>
      </c>
      <c r="B2" s="5" t="s">
        <v>11</v>
      </c>
      <c r="C2" s="6">
        <f>IFERROR(SLOPE(Returns!B2:B60,Returns!H2:H60),"")</f>
        <v>1.0878099160863826</v>
      </c>
      <c r="D2" s="8">
        <f>IFERROR(AVERAGE(Returns!B2:B60),"")</f>
        <v>1.5070824238836513E-2</v>
      </c>
      <c r="E2" s="8">
        <f t="shared" ref="E2:E7" si="0">IFERROR((1+D2)^12-1,"")</f>
        <v>0.19661968380304828</v>
      </c>
      <c r="F2" s="5" t="str">
        <f t="shared" ref="F2:F7" si="1">IF(C2&gt;1,"More sensitive than market",IF(C2&lt;1,"Less sensitive than market","Approximately market-level"))</f>
        <v>More sensitive than market</v>
      </c>
    </row>
    <row r="3" spans="1:6" x14ac:dyDescent="0.25">
      <c r="A3" s="5" t="s">
        <v>25</v>
      </c>
      <c r="B3" s="5" t="s">
        <v>12</v>
      </c>
      <c r="C3" s="6">
        <f>IFERROR(SLOPE(Returns!C2:C60,Returns!H2:H60),"")</f>
        <v>0.24149586051295135</v>
      </c>
      <c r="D3" s="8">
        <f>IFERROR(AVERAGE(Returns!C2:C60),"")</f>
        <v>1.0297890409769937E-2</v>
      </c>
      <c r="E3" s="8">
        <f t="shared" si="0"/>
        <v>0.13081966880805806</v>
      </c>
      <c r="F3" s="5" t="str">
        <f t="shared" si="1"/>
        <v>Less sensitive than market</v>
      </c>
    </row>
    <row r="4" spans="1:6" x14ac:dyDescent="0.25">
      <c r="A4" s="5" t="s">
        <v>26</v>
      </c>
      <c r="B4" s="5" t="s">
        <v>13</v>
      </c>
      <c r="C4" s="6">
        <f>IFERROR(SLOPE(Returns!D2:D60,Returns!H2:H60),"")</f>
        <v>0.98988995203023666</v>
      </c>
      <c r="D4" s="8">
        <f>IFERROR(AVERAGE(Returns!D2:D60),"")</f>
        <v>1.7928067617476912E-2</v>
      </c>
      <c r="E4" s="8">
        <f t="shared" si="0"/>
        <v>0.23767059642626487</v>
      </c>
      <c r="F4" s="5" t="str">
        <f t="shared" si="1"/>
        <v>Less sensitive than market</v>
      </c>
    </row>
    <row r="5" spans="1:6" x14ac:dyDescent="0.25">
      <c r="A5" s="5" t="s">
        <v>27</v>
      </c>
      <c r="B5" s="5" t="s">
        <v>14</v>
      </c>
      <c r="C5" s="6">
        <f>IFERROR(SLOPE(Returns!E2:E60,Returns!H2:H60),"")</f>
        <v>0.33988209951357728</v>
      </c>
      <c r="D5" s="8">
        <f>IFERROR(AVERAGE(Returns!E2:E60),"")</f>
        <v>1.1170080683857461E-2</v>
      </c>
      <c r="E5" s="8">
        <f t="shared" si="0"/>
        <v>0.14259029386986444</v>
      </c>
      <c r="F5" s="5" t="str">
        <f t="shared" si="1"/>
        <v>Less sensitive than market</v>
      </c>
    </row>
    <row r="6" spans="1:6" x14ac:dyDescent="0.25">
      <c r="A6" s="5" t="s">
        <v>28</v>
      </c>
      <c r="B6" s="5" t="s">
        <v>15</v>
      </c>
      <c r="C6" s="6">
        <f>IFERROR(SLOPE(Returns!F2:F60,Returns!H2:H60),"")</f>
        <v>0.3876887146734046</v>
      </c>
      <c r="D6" s="8">
        <f>IFERROR(AVERAGE(Returns!F2:F60),"")</f>
        <v>3.8285763251771627E-3</v>
      </c>
      <c r="E6" s="8">
        <f t="shared" si="0"/>
        <v>4.6922796928410726E-2</v>
      </c>
      <c r="F6" s="5" t="str">
        <f t="shared" si="1"/>
        <v>Less sensitive than market</v>
      </c>
    </row>
    <row r="7" spans="1:6" x14ac:dyDescent="0.25">
      <c r="A7" s="5" t="s">
        <v>29</v>
      </c>
      <c r="B7" s="5" t="s">
        <v>16</v>
      </c>
      <c r="C7" s="6">
        <f>IFERROR(SLOPE(Returns!G2:G60,Returns!H2:H60),"")</f>
        <v>0.18014982141543512</v>
      </c>
      <c r="D7" s="8">
        <f>IFERROR(AVERAGE(Returns!G2:G60),"")</f>
        <v>2.3746973334549455E-2</v>
      </c>
      <c r="E7" s="8">
        <f t="shared" si="0"/>
        <v>0.32529197913312702</v>
      </c>
      <c r="F7" s="5" t="str">
        <f t="shared" si="1"/>
        <v>Less sensitive than market</v>
      </c>
    </row>
    <row r="18" spans="5:5" x14ac:dyDescent="0.25">
      <c r="E18" s="19"/>
    </row>
  </sheetData>
  <conditionalFormatting sqref="C2:C7">
    <cfRule type="cellIs" dxfId="0" priority="3" operator="greaterThan">
      <formula>1</formula>
    </cfRule>
    <cfRule type="cellIs" dxfId="1" priority="2" operator="lessThan">
      <formula>1</formula>
    </cfRule>
    <cfRule type="cellIs" dxfId="2" priority="1" operator="equal">
      <formula>1</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
  <sheetViews>
    <sheetView workbookViewId="0">
      <selection activeCell="E13" sqref="E13"/>
    </sheetView>
  </sheetViews>
  <sheetFormatPr defaultRowHeight="15" x14ac:dyDescent="0.25"/>
  <cols>
    <col min="1" max="1" width="28" bestFit="1" customWidth="1"/>
    <col min="2" max="2" width="12" customWidth="1"/>
    <col min="3" max="3" width="20.42578125" bestFit="1" customWidth="1"/>
    <col min="4" max="4" width="21.85546875" bestFit="1" customWidth="1"/>
    <col min="5" max="5" width="26.7109375" bestFit="1" customWidth="1"/>
    <col min="6" max="6" width="10" customWidth="1"/>
    <col min="7" max="7" width="13.7109375" bestFit="1" customWidth="1"/>
  </cols>
  <sheetData>
    <row r="1" spans="1:7" x14ac:dyDescent="0.25">
      <c r="A1" s="4" t="s">
        <v>30</v>
      </c>
      <c r="B1" s="4"/>
      <c r="C1" s="4" t="s">
        <v>49</v>
      </c>
      <c r="D1" s="5"/>
      <c r="E1" s="5"/>
      <c r="F1" s="5"/>
      <c r="G1" s="5"/>
    </row>
    <row r="2" spans="1:7" ht="48.75" customHeight="1" x14ac:dyDescent="0.25">
      <c r="A2" s="9" t="s">
        <v>50</v>
      </c>
      <c r="B2" s="8">
        <v>3.7699999999999997E-2</v>
      </c>
      <c r="C2" s="17" t="s">
        <v>51</v>
      </c>
      <c r="D2" s="5"/>
      <c r="E2" s="5"/>
      <c r="F2" s="5"/>
      <c r="G2" s="5"/>
    </row>
    <row r="3" spans="1:7" ht="45" x14ac:dyDescent="0.25">
      <c r="A3" s="9" t="s">
        <v>31</v>
      </c>
      <c r="B3" s="8">
        <f>(1+AVERAGE(Returns!H2:H60))^12-1</f>
        <v>0.12184890043683683</v>
      </c>
      <c r="C3" s="18" t="s">
        <v>52</v>
      </c>
      <c r="D3" s="5"/>
      <c r="E3" s="5"/>
      <c r="F3" s="5"/>
      <c r="G3" s="5"/>
    </row>
    <row r="4" spans="1:7" x14ac:dyDescent="0.25">
      <c r="A4" s="9" t="s">
        <v>32</v>
      </c>
      <c r="B4" s="8">
        <f>B3-B2</f>
        <v>8.4148900436836829E-2</v>
      </c>
      <c r="C4" s="5" t="s">
        <v>53</v>
      </c>
      <c r="D4" s="5"/>
      <c r="E4" s="5"/>
      <c r="F4" s="5"/>
      <c r="G4" s="5"/>
    </row>
    <row r="5" spans="1:7" x14ac:dyDescent="0.25">
      <c r="A5" s="5"/>
      <c r="B5" s="5"/>
      <c r="C5" s="5"/>
      <c r="D5" s="5"/>
      <c r="E5" s="5"/>
      <c r="F5" s="5"/>
      <c r="G5" s="5"/>
    </row>
    <row r="6" spans="1:7" x14ac:dyDescent="0.25">
      <c r="A6" s="4" t="s">
        <v>18</v>
      </c>
      <c r="B6" s="4" t="s">
        <v>19</v>
      </c>
      <c r="C6" s="4" t="s">
        <v>20</v>
      </c>
      <c r="D6" s="4" t="s">
        <v>33</v>
      </c>
      <c r="E6" s="4" t="s">
        <v>34</v>
      </c>
      <c r="F6" s="4" t="s">
        <v>35</v>
      </c>
      <c r="G6" s="4" t="s">
        <v>36</v>
      </c>
    </row>
    <row r="7" spans="1:7" x14ac:dyDescent="0.25">
      <c r="A7" s="5" t="str">
        <f>Beta!A2</f>
        <v>Procter &amp; Gamble</v>
      </c>
      <c r="B7" s="5" t="str">
        <f>Beta!B2</f>
        <v>PG</v>
      </c>
      <c r="C7" s="6">
        <f>Beta!C2</f>
        <v>1.0878099160863826</v>
      </c>
      <c r="D7" s="8">
        <f>$B$2+C7*$B$4</f>
        <v>0.12923800832295684</v>
      </c>
      <c r="E7" s="8">
        <f>Beta!E2</f>
        <v>0.19661968380304828</v>
      </c>
      <c r="F7" s="8">
        <f>E7-D7</f>
        <v>6.7381675480091441E-2</v>
      </c>
      <c r="G7" s="8">
        <f t="shared" ref="G7:G12" si="0">E7-D7</f>
        <v>6.7381675480091441E-2</v>
      </c>
    </row>
    <row r="8" spans="1:7" x14ac:dyDescent="0.25">
      <c r="A8" s="5" t="str">
        <f>Beta!A3</f>
        <v>Apple</v>
      </c>
      <c r="B8" s="5" t="str">
        <f>Beta!B3</f>
        <v>AAPL</v>
      </c>
      <c r="C8" s="6">
        <f>Beta!C3</f>
        <v>0.24149586051295135</v>
      </c>
      <c r="D8" s="8">
        <f t="shared" ref="D7:D12" si="1">$B$2+C8*$B$4</f>
        <v>5.8021611122212574E-2</v>
      </c>
      <c r="E8" s="8">
        <f>Beta!E3</f>
        <v>0.13081966880805806</v>
      </c>
      <c r="F8" s="8">
        <f t="shared" ref="F7:F12" si="2">E8-D8</f>
        <v>7.2798057685845491E-2</v>
      </c>
      <c r="G8" s="8">
        <f t="shared" si="0"/>
        <v>7.2798057685845491E-2</v>
      </c>
    </row>
    <row r="9" spans="1:7" x14ac:dyDescent="0.25">
      <c r="A9" s="5" t="str">
        <f>Beta!A4</f>
        <v>JPMorgan Chase</v>
      </c>
      <c r="B9" s="5" t="str">
        <f>Beta!B4</f>
        <v>JPM</v>
      </c>
      <c r="C9" s="6">
        <f>Beta!C4</f>
        <v>0.98988995203023666</v>
      </c>
      <c r="D9" s="8">
        <f t="shared" si="1"/>
        <v>0.12099815101681757</v>
      </c>
      <c r="E9" s="8">
        <f>Beta!E4</f>
        <v>0.23767059642626487</v>
      </c>
      <c r="F9" s="8">
        <f t="shared" si="2"/>
        <v>0.1166724454094473</v>
      </c>
      <c r="G9" s="8">
        <f t="shared" si="0"/>
        <v>0.1166724454094473</v>
      </c>
    </row>
    <row r="10" spans="1:7" x14ac:dyDescent="0.25">
      <c r="A10" s="5" t="str">
        <f>Beta!A5</f>
        <v>Exxon Mobil</v>
      </c>
      <c r="B10" s="5" t="str">
        <f>Beta!B5</f>
        <v>XOM</v>
      </c>
      <c r="C10" s="6">
        <f>Beta!C5</f>
        <v>0.33988209951357728</v>
      </c>
      <c r="D10" s="8">
        <f t="shared" si="1"/>
        <v>6.6300704952231088E-2</v>
      </c>
      <c r="E10" s="8">
        <f>Beta!E5</f>
        <v>0.14259029386986444</v>
      </c>
      <c r="F10" s="8">
        <f t="shared" si="2"/>
        <v>7.628958891763335E-2</v>
      </c>
      <c r="G10" s="8">
        <f t="shared" si="0"/>
        <v>7.628958891763335E-2</v>
      </c>
    </row>
    <row r="11" spans="1:7" x14ac:dyDescent="0.25">
      <c r="A11" s="5" t="str">
        <f>Beta!A6</f>
        <v>Johnson &amp; Johnson</v>
      </c>
      <c r="B11" s="5" t="str">
        <f>Beta!B6</f>
        <v>JNJ</v>
      </c>
      <c r="C11" s="6">
        <f>Beta!C6</f>
        <v>0.3876887146734046</v>
      </c>
      <c r="D11" s="8">
        <f t="shared" si="1"/>
        <v>7.0323579051537563E-2</v>
      </c>
      <c r="E11" s="8">
        <f>Beta!E6</f>
        <v>4.6922796928410726E-2</v>
      </c>
      <c r="F11" s="8">
        <f t="shared" si="2"/>
        <v>-2.3400782123126837E-2</v>
      </c>
      <c r="G11" s="8">
        <f t="shared" si="0"/>
        <v>-2.3400782123126837E-2</v>
      </c>
    </row>
    <row r="12" spans="1:7" x14ac:dyDescent="0.25">
      <c r="A12" s="5" t="str">
        <f>Beta!A7</f>
        <v>Coca-Cola</v>
      </c>
      <c r="B12" s="5" t="str">
        <f>Beta!B7</f>
        <v>KO</v>
      </c>
      <c r="C12" s="6">
        <f>Beta!C7</f>
        <v>0.18014982141543512</v>
      </c>
      <c r="D12" s="8">
        <f t="shared" si="1"/>
        <v>5.285940938600138E-2</v>
      </c>
      <c r="E12" s="8">
        <f>Beta!E7</f>
        <v>0.32529197913312702</v>
      </c>
      <c r="F12" s="8">
        <f>E12-D12</f>
        <v>0.27243256974712565</v>
      </c>
      <c r="G12" s="8">
        <f>E12-D12</f>
        <v>0.27243256974712565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workbookViewId="0">
      <selection activeCell="W11" sqref="W11"/>
    </sheetView>
  </sheetViews>
  <sheetFormatPr defaultRowHeight="15" x14ac:dyDescent="0.25"/>
  <sheetData>
    <row r="1" spans="1:1" ht="18.75" x14ac:dyDescent="0.3">
      <c r="A1" s="10" t="s">
        <v>37</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topLeftCell="A4" workbookViewId="0">
      <selection activeCell="E8" sqref="E8"/>
    </sheetView>
  </sheetViews>
  <sheetFormatPr defaultRowHeight="15" x14ac:dyDescent="0.25"/>
  <cols>
    <col min="1" max="1" width="65.7109375" customWidth="1"/>
    <col min="2" max="2" width="83" customWidth="1"/>
  </cols>
  <sheetData>
    <row r="1" spans="1:2" ht="18.75" x14ac:dyDescent="0.3">
      <c r="A1" s="10" t="s">
        <v>38</v>
      </c>
    </row>
    <row r="3" spans="1:2" ht="42" customHeight="1" x14ac:dyDescent="0.25">
      <c r="A3" s="11" t="s">
        <v>54</v>
      </c>
      <c r="B3" s="21" t="s">
        <v>65</v>
      </c>
    </row>
    <row r="4" spans="1:2" ht="42" customHeight="1" x14ac:dyDescent="0.25">
      <c r="A4" s="11" t="s">
        <v>55</v>
      </c>
      <c r="B4" s="21" t="s">
        <v>60</v>
      </c>
    </row>
    <row r="5" spans="1:2" ht="50.25" customHeight="1" x14ac:dyDescent="0.25">
      <c r="A5" s="11" t="s">
        <v>56</v>
      </c>
      <c r="B5" s="21" t="s">
        <v>71</v>
      </c>
    </row>
    <row r="6" spans="1:2" ht="42" customHeight="1" x14ac:dyDescent="0.25">
      <c r="A6" s="11" t="s">
        <v>57</v>
      </c>
      <c r="B6" s="21" t="s">
        <v>62</v>
      </c>
    </row>
    <row r="7" spans="1:2" ht="42" customHeight="1" x14ac:dyDescent="0.25">
      <c r="A7" s="11" t="s">
        <v>58</v>
      </c>
      <c r="B7" s="21" t="s">
        <v>61</v>
      </c>
    </row>
    <row r="8" spans="1:2" ht="42" customHeight="1" x14ac:dyDescent="0.25">
      <c r="A8" s="11" t="s">
        <v>39</v>
      </c>
      <c r="B8" s="21" t="s">
        <v>63</v>
      </c>
    </row>
    <row r="9" spans="1:2" ht="42" customHeight="1" x14ac:dyDescent="0.25">
      <c r="A9" s="11" t="s">
        <v>59</v>
      </c>
      <c r="B9" s="22" t="s">
        <v>64</v>
      </c>
    </row>
    <row r="10" spans="1:2" x14ac:dyDescent="0.25">
      <c r="A10" s="20"/>
      <c r="B10" s="22"/>
    </row>
    <row r="11" spans="1:2" x14ac:dyDescent="0.25">
      <c r="A11" s="20"/>
      <c r="B11" s="22"/>
    </row>
    <row r="12" spans="1:2" x14ac:dyDescent="0.25">
      <c r="A12" s="20"/>
      <c r="B12" s="22"/>
    </row>
    <row r="13" spans="1:2" x14ac:dyDescent="0.25">
      <c r="B13" s="22"/>
    </row>
    <row r="14" spans="1:2" x14ac:dyDescent="0.25">
      <c r="B14" s="22"/>
    </row>
  </sheetData>
  <mergeCells count="2">
    <mergeCell ref="A10:A12"/>
    <mergeCell ref="B9:B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Raw Data</vt:lpstr>
      <vt:lpstr>Returns</vt:lpstr>
      <vt:lpstr>Beta</vt:lpstr>
      <vt:lpstr>CAPM</vt:lpstr>
      <vt:lpstr>Charts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Ruth R Anaya</cp:lastModifiedBy>
  <dcterms:created xsi:type="dcterms:W3CDTF">2026-08-24T20:59:49Z</dcterms:created>
  <dcterms:modified xsi:type="dcterms:W3CDTF">2026-08-25T04:40:07Z</dcterms:modified>
</cp:coreProperties>
</file>